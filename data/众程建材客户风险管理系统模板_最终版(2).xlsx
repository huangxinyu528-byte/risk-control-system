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2a1e6544e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07d36c061ef4061"/>
    <x:sheet xmlns:r="http://schemas.openxmlformats.org/officeDocument/2006/relationships" name="Params" sheetId="2" r:id="R84e209bc9ae74ee8"/>
    <x:sheet xmlns:r="http://schemas.openxmlformats.org/officeDocument/2006/relationships" name="Customers" sheetId="3" r:id="Rb14cef62dc644dfd"/>
    <x:sheet xmlns:r="http://schemas.openxmlformats.org/officeDocument/2006/relationships" name="Contracts" sheetId="4" r:id="R8d317b84e93c4236"/>
    <x:sheet xmlns:r="http://schemas.openxmlformats.org/officeDocument/2006/relationships" name="AR" sheetId="5" r:id="Rea6e15d64e6f46b4"/>
    <x:sheet xmlns:r="http://schemas.openxmlformats.org/officeDocument/2006/relationships" name="Risks" sheetId="6" r:id="R3720ee70f47e48ff"/>
    <x:sheet xmlns:r="http://schemas.openxmlformats.org/officeDocument/2006/relationships" name="Scores" sheetId="7" r:id="R6d4d33efea4f4fb9"/>
    <x:sheet xmlns:r="http://schemas.openxmlformats.org/officeDocument/2006/relationships" name="Collection" sheetId="8" r:id="Rabfb4bae4b1b45cd"/>
    <x:sheet xmlns:r="http://schemas.openxmlformats.org/officeDocument/2006/relationships" name="Dashboard" sheetId="9" r:id="R8278715f7be64064"/>
  </x:sheets>
  <x:definedNames>
    <x:definedName name="_xlnm._FilterDatabase" localSheetId="2" hidden="1">'Customers'!$A$1:$O$201</x:definedName>
    <x:definedName name="_xlnm._FilterDatabase" localSheetId="3" hidden="1">'Contracts'!$A$1:$K$201</x:definedName>
    <x:definedName name="_xlnm._FilterDatabase" localSheetId="4" hidden="1">'AR'!$A$1:$U$201</x:definedName>
    <x:definedName name="_xlnm._FilterDatabase" localSheetId="5" hidden="1">'Risks'!$A$1:$J$201</x:definedName>
    <x:definedName name="_xlnm._FilterDatabase" localSheetId="6" hidden="1">'Scores'!$A$1:$W$201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yyyy-mm-dd"/>
    <x:numFmt numFmtId="166" formatCode="¥#,##0;[Red](¥#,##0);-"/>
  </x:numFmts>
  <x:fonts count="14">
    <x:font>
      <x:sz val="11"/>
      <x:color theme="1"/>
      <x:name val="Calibri"/>
      <x:family val="2"/>
      <x:scheme val="minor"/>
    </x:font>
    <x:font>
      <x:b/>
      <x:sz val="16"/>
      <x:color rgb="001F3A68"/>
    </x:font>
    <x:font>
      <x:sz val="10"/>
      <x:color rgb="006B7280"/>
    </x:font>
    <x:font>
      <x:b/>
      <x:sz val="11"/>
      <x:color rgb="001F3A68"/>
    </x:font>
    <x:font>
      <x:b/>
      <x:color rgb="000000FF"/>
    </x:font>
    <x:font>
      <x:b/>
      <x:color rgb="00000000"/>
    </x:font>
    <x:font>
      <x:b/>
      <x:color rgb="00008000"/>
    </x:font>
    <x:font>
      <x:b/>
      <x:color rgb="006B7280"/>
    </x:font>
    <x:font>
      <x:b/>
      <x:sz val="10"/>
      <x:color rgb="00FFFFFF"/>
      <x:name val="Arial"/>
    </x:font>
    <x:font>
      <x:sz val="10"/>
      <x:color rgb="000000FF"/>
    </x:font>
    <x:font>
      <x:color rgb="006D4BC2"/>
    </x:font>
    <x:font>
      <x:sz val="10"/>
      <x:color rgb="00000000"/>
    </x:font>
    <x:font>
      <x:b/>
      <x:sz val="10"/>
      <x:color rgb="001F3A68"/>
    </x:font>
    <x:font>
      <x:b/>
      <x:sz val="12"/>
      <x:color rgb="001F3A68"/>
    </x:font>
  </x:fonts>
  <x:fills count="7">
    <x:fill>
      <x:patternFill patternType="none"/>
    </x:fill>
    <x:fill>
      <x:patternFill patternType="gray125"/>
    </x:fill>
    <x:fill>
      <x:patternFill patternType="solid">
        <x:fgColor rgb="001F3A68"/>
      </x:patternFill>
    </x:fill>
    <x:fill>
      <x:patternFill patternType="solid">
        <x:fgColor rgb="00FFFFFF"/>
      </x:patternFill>
    </x:fill>
    <x:fill>
      <x:patternFill patternType="solid">
        <x:fgColor rgb="00FBFCFE"/>
      </x:patternFill>
    </x:fill>
    <x:fill>
      <x:patternFill patternType="solid">
        <x:fgColor rgb="00EAF1FB"/>
      </x:patternFill>
    </x:fill>
    <x:fill>
      <x:patternFill patternType="solid">
        <x:fgColor rgb="00FFF2E0"/>
      </x:patternFill>
    </x:fill>
  </x:fills>
  <x:borders count="2">
    <x:border>
      <x:left/>
      <x:right/>
      <x:top/>
      <x:bottom/>
      <x:diagonal/>
    </x:border>
    <x:border>
      <x:left style="thin">
        <x:color rgb="00D6DCE5"/>
      </x:left>
      <x:right style="thin">
        <x:color rgb="00D6DCE5"/>
      </x:right>
      <x:top style="thin">
        <x:color rgb="00D6DCE5"/>
      </x:top>
      <x:bottom style="thin">
        <x:color rgb="00D6DCE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10" fillId="3" borderId="1" xfId="0" applyAlignment="1">
      <x:alignment vertical="center" wrapText="1"/>
    </x:xf>
    <x:xf numFmtId="164" fontId="10" fillId="3" borderId="1" xfId="0" applyAlignment="1">
      <x:alignment vertical="center" wrapText="1"/>
    </x:xf>
    <x:xf numFmtId="0" fontId="9" fillId="3" borderId="1" xfId="0" applyAlignment="1">
      <x:alignment vertical="center" wrapText="1"/>
    </x:xf>
    <x:xf numFmtId="165" fontId="9" fillId="3" borderId="1" xfId="0" applyAlignment="1">
      <x:alignment vertical="center" wrapText="1"/>
    </x:xf>
    <x:xf numFmtId="166" fontId="9" fillId="3" borderId="1" xfId="0" applyAlignment="1">
      <x:alignment vertical="center" wrapText="1"/>
    </x:xf>
    <x:xf numFmtId="166" fontId="11" fillId="4" borderId="1" xfId="0" applyAlignment="1">
      <x:alignment vertical="center" wrapText="1"/>
    </x:xf>
    <x:xf numFmtId="164" fontId="11" fillId="4" borderId="1" xfId="0" applyAlignment="1">
      <x:alignment vertical="center" wrapText="1"/>
    </x:xf>
    <x:xf numFmtId="0" fontId="11" fillId="4" borderId="1" xfId="0" applyAlignment="1">
      <x:alignment vertical="center" wrapText="1"/>
    </x:xf>
    <x:xf numFmtId="165" fontId="11" fillId="4" borderId="1" xfId="0" applyAlignment="1">
      <x:alignment vertical="center" wrapText="1"/>
    </x:xf>
    <x:xf numFmtId="0" fontId="12" fillId="5" borderId="1" xfId="0" applyAlignment="1">
      <x:alignment horizontal="center" vertical="center" wrapText="1"/>
    </x:xf>
    <x:xf numFmtId="1" fontId="13" fillId="3" borderId="1" xfId="0" applyAlignment="1">
      <x:alignment horizontal="center" vertical="center"/>
    </x:xf>
    <x:xf numFmtId="166" fontId="13" fillId="3" borderId="1" xfId="0" applyAlignment="1">
      <x:alignment horizontal="center" vertical="center"/>
    </x:xf>
    <x:xf numFmtId="0" fontId="12" fillId="6" borderId="1" xfId="0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00F8CBAD"/>
        </x:patternFill>
      </x:fill>
    </x:dxf>
    <x:dxf>
      <x:fill>
        <x:patternFill>
          <x:bgColor rgb="00F4CCCC"/>
        </x:patternFill>
      </x:fill>
    </x:dxf>
    <x:dxf>
      <x:fill>
        <x:patternFill>
          <x:bgColor rgb="00FCE5CD"/>
        </x:patternFill>
      </x:fill>
    </x:dxf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1a5a4819946d1" /><Relationship Type="http://schemas.openxmlformats.org/officeDocument/2006/relationships/theme" Target="/xl/theme/theme1.xml" Id="Rf0feb2cc23c64685" /><Relationship Type="http://schemas.openxmlformats.org/officeDocument/2006/relationships/sharedStrings" Target="/xl/sharedStrings.xml" Id="Re61f831f1b6b4639" /><Relationship Type="http://schemas.openxmlformats.org/officeDocument/2006/relationships/worksheet" Target="/xl/worksheets/sheet1.xml" Id="Rf07d36c061ef4061" /><Relationship Type="http://schemas.openxmlformats.org/officeDocument/2006/relationships/worksheet" Target="/xl/worksheets/sheet2.xml" Id="R84e209bc9ae74ee8" /><Relationship Type="http://schemas.openxmlformats.org/officeDocument/2006/relationships/worksheet" Target="/xl/worksheets/sheet3.xml" Id="Rb14cef62dc644dfd" /><Relationship Type="http://schemas.openxmlformats.org/officeDocument/2006/relationships/worksheet" Target="/xl/worksheets/sheet4.xml" Id="R8d317b84e93c4236" /><Relationship Type="http://schemas.openxmlformats.org/officeDocument/2006/relationships/worksheet" Target="/xl/worksheets/sheet5.xml" Id="Rea6e15d64e6f46b4" /><Relationship Type="http://schemas.openxmlformats.org/officeDocument/2006/relationships/worksheet" Target="/xl/worksheets/sheet6.xml" Id="R3720ee70f47e48ff" /><Relationship Type="http://schemas.openxmlformats.org/officeDocument/2006/relationships/worksheet" Target="/xl/worksheets/sheet7.xml" Id="R6d4d33efea4f4fb9" /><Relationship Type="http://schemas.openxmlformats.org/officeDocument/2006/relationships/worksheet" Target="/xl/worksheets/sheet8.xml" Id="Rabfb4bae4b1b45cd" /><Relationship Type="http://schemas.openxmlformats.org/officeDocument/2006/relationships/worksheet" Target="/xl/worksheets/sheet9.xml" Id="R8278715f7be6406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0" customWidth="1"/>
    <x:col min="2" max="2" width="28" customWidth="1"/>
  </x:cols>
  <x:sheetData>
    <x:row r="1">
      <x:c r="A1" s="1" t="inlineStr">
        <x:is>
          <x:t xml:space="preserve">众程建材客户风险管理系统模板（Excel 起步版）</x:t>
        </x:is>
      </x:c>
    </x:row>
    <x:row r="2">
      <x:c r="A2" s="2" t="inlineStr">
        <x:is>
          <x:t xml:space="preserve">工作表对照：Guide=使用说明，Params=参数设置，Customers=客户表，Contracts=合同表，AR=应收账款表，Risks=风险记录表，Scores=信用评分表，Collection=催收优先级，Dashboard=风控看板</x:t>
        </x:is>
      </x:c>
    </x:row>
    <x:row r="4">
      <x:c r="A4" s="3" t="inlineStr">
        <x:is>
          <x:t xml:space="preserve">使用顺序</x:t>
        </x:is>
      </x:c>
    </x:row>
    <x:row r="5">
      <x:c r="A5" t="inlineStr">
        <x:is>
          <x:t xml:space="preserve">1）先维护“Params”，如评分标准、预警阈值、扣分规则。</x:t>
        </x:is>
      </x:c>
    </x:row>
    <x:row r="6">
      <x:c r="A6" t="inlineStr">
        <x:is>
          <x:t xml:space="preserve">2）在“Customers”录入客户基础信息与信用额度。</x:t>
        </x:is>
      </x:c>
    </x:row>
    <x:row r="7">
      <x:c r="A7" t="inlineStr">
        <x:is>
          <x:t xml:space="preserve">3）在“Contracts”录入项目合同信息。</x:t>
        </x:is>
      </x:c>
    </x:row>
    <x:row r="8">
      <x:c r="A8" t="inlineStr">
        <x:is>
          <x:t xml:space="preserve">4）在“AR”录入应收与回款信息，系统会自动计算未收金额、逾期天数、账龄阶段和预警等级。</x:t>
        </x:is>
      </x:c>
    </x:row>
    <x:row r="9">
      <x:c r="A9" t="inlineStr">
        <x:is>
          <x:t xml:space="preserve">5）在“Risks”录入诉讼、被执行、经营异常等外部风险事件。</x:t>
        </x:is>
      </x:c>
    </x:row>
    <x:row r="10">
      <x:c r="A10" t="inlineStr">
        <x:is>
          <x:t xml:space="preserve">6）在“Scores”按月评分，系统会自动给出总分、信用等级和额度策略建议。</x:t>
        </x:is>
      </x:c>
    </x:row>
    <x:row r="11">
      <x:c r="A11" t="inlineStr">
        <x:is>
          <x:t xml:space="preserve">7）在“Collection”查看当前最需要跟进的客户。</x:t>
        </x:is>
      </x:c>
    </x:row>
    <x:row r="12">
      <x:c r="A12" t="inlineStr">
        <x:is>
          <x:t xml:space="preserve">8）在“Dashboard”查看总应收、逾期金额、90 天以上金额等核心指标。</x:t>
        </x:is>
      </x:c>
    </x:row>
    <x:row r="15">
      <x:c r="A15" s="3" t="inlineStr">
        <x:is>
          <x:t xml:space="preserve">颜色约定</x:t>
        </x:is>
      </x:c>
    </x:row>
    <x:row r="16">
      <x:c r="A16" s="4" t="inlineStr">
        <x:is>
          <x:t xml:space="preserve">蓝色字体</x:t>
        </x:is>
      </x:c>
      <x:c r="B16" t="inlineStr">
        <x:is>
          <x:t xml:space="preserve">用户录入 / 可修改</x:t>
        </x:is>
      </x:c>
    </x:row>
    <x:row r="17">
      <x:c r="A17" s="5" t="inlineStr">
        <x:is>
          <x:t xml:space="preserve">黑色字体</x:t>
        </x:is>
      </x:c>
      <x:c r="B17" t="inlineStr">
        <x:is>
          <x:t xml:space="preserve">公式计算</x:t>
        </x:is>
      </x:c>
    </x:row>
    <x:row r="18">
      <x:c r="A18" s="6" t="inlineStr">
        <x:is>
          <x:t xml:space="preserve">绿色字体</x:t>
        </x:is>
      </x:c>
      <x:c r="B18" t="inlineStr">
        <x:is>
          <x:t xml:space="preserve">外部导入 / 引入字段</x:t>
        </x:is>
      </x:c>
    </x:row>
    <x:row r="19">
      <x:c r="A19" s="7" t="inlineStr">
        <x:is>
          <x:t xml:space="preserve">灰色字体</x:t>
        </x:is>
      </x:c>
      <x:c r="B19" t="inlineStr">
        <x:is>
          <x:t xml:space="preserve">说明或静态字段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2" customWidth="1"/>
    <x:col min="3" max="3" width="28" customWidth="1"/>
  </x:cols>
  <x:sheetData>
    <x:row r="1" ht="24" customHeight="1">
      <x:c r="A1" s="8" t="inlineStr">
        <x:is>
          <x:t xml:space="preserve">参数项</x:t>
        </x:is>
      </x:c>
      <x:c r="B1" s="8" t="inlineStr">
        <x:is>
          <x:t xml:space="preserve">参数值</x:t>
        </x:is>
      </x:c>
      <x:c r="C1" s="8" t="inlineStr">
        <x:is>
          <x:t xml:space="preserve">说明</x:t>
        </x:is>
      </x:c>
    </x:row>
    <x:row r="2">
      <x:c r="A2" s="9" t="inlineStr">
        <x:is>
          <x:t xml:space="preserve">诉讼单件扣分</x:t>
        </x:is>
      </x:c>
      <x:c r="B2" s="10" t="n">
        <x:v>10</x:v>
      </x:c>
      <x:c r="C2" s="9" t="inlineStr">
        <x:is>
          <x:t xml:space="preserve">信用风险扣分</x:t>
        </x:is>
      </x:c>
    </x:row>
    <x:row r="3">
      <x:c r="A3" s="9" t="inlineStr">
        <x:is>
          <x:t xml:space="preserve">被执行单件扣分</x:t>
        </x:is>
      </x:c>
      <x:c r="B3" s="10" t="n">
        <x:v>15</x:v>
      </x:c>
      <x:c r="C3" s="9" t="inlineStr">
        <x:is>
          <x:t xml:space="preserve">信用风险扣分</x:t>
        </x:is>
      </x:c>
    </x:row>
    <x:row r="4">
      <x:c r="A4" s="9" t="inlineStr">
        <x:is>
          <x:t xml:space="preserve">失信标记扣分</x:t>
        </x:is>
      </x:c>
      <x:c r="B4" s="10" t="n">
        <x:v>20</x:v>
      </x:c>
      <x:c r="C4" s="9" t="inlineStr">
        <x:is>
          <x:t xml:space="preserve">若为是则扣分</x:t>
        </x:is>
      </x:c>
    </x:row>
    <x:row r="5">
      <x:c r="A5" s="9" t="inlineStr">
        <x:is>
          <x:t xml:space="preserve">税务异常扣分</x:t>
        </x:is>
      </x:c>
      <x:c r="B5" s="10" t="n">
        <x:v>10</x:v>
      </x:c>
      <x:c r="C5" s="9" t="inlineStr">
        <x:is>
          <x:t xml:space="preserve">若为是则扣分</x:t>
        </x:is>
      </x:c>
    </x:row>
    <x:row r="6">
      <x:c r="A6" s="9" t="inlineStr">
        <x:is>
          <x:t xml:space="preserve">历史逾期扣分</x:t>
        </x:is>
      </x:c>
      <x:c r="B6" s="10" t="n">
        <x:v>10</x:v>
      </x:c>
      <x:c r="C6" s="9" t="inlineStr">
        <x:is>
          <x:t xml:space="preserve">历史逾期次数&gt;=1</x:t>
        </x:is>
      </x:c>
    </x:row>
    <x:row r="7">
      <x:c r="A7" s="9" t="inlineStr">
        <x:is>
          <x:t xml:space="preserve">最大逾期&gt;60天扣分</x:t>
        </x:is>
      </x:c>
      <x:c r="B7" s="10" t="n">
        <x:v>5</x:v>
      </x:c>
      <x:c r="C7" s="9" t="inlineStr">
        <x:is>
          <x:t xml:space="preserve">信用风险附加扣分</x:t>
        </x:is>
      </x:c>
    </x:row>
    <x:row r="8">
      <x:c r="A8" s="9" t="inlineStr">
        <x:is>
          <x:t xml:space="preserve">最大逾期&gt;90天扣分</x:t>
        </x:is>
      </x:c>
      <x:c r="B8" s="10" t="n">
        <x:v>10</x:v>
      </x:c>
      <x:c r="C8" s="9" t="inlineStr">
        <x:is>
          <x:t xml:space="preserve">信用风险附加扣分</x:t>
        </x:is>
      </x:c>
    </x:row>
    <x:row r="9">
      <x:c r="A9" s="9" t="inlineStr">
        <x:is>
          <x:t xml:space="preserve">额度预警阈值</x:t>
        </x:is>
      </x:c>
      <x:c r="B9" s="11" t="n">
        <x:v>0.7</x:v>
      </x:c>
      <x:c r="C9" s="9" t="inlineStr">
        <x:is>
          <x:t xml:space="preserve">&gt;=该值显示预警</x:t>
        </x:is>
      </x:c>
    </x:row>
    <x:row r="10">
      <x:c r="A10" s="9" t="inlineStr">
        <x:is>
          <x:t xml:space="preserve">额度高风险阈值</x:t>
        </x:is>
      </x:c>
      <x:c r="B10" s="11" t="n">
        <x:v>0.9</x:v>
      </x:c>
      <x:c r="C10" s="9" t="inlineStr">
        <x:is>
          <x:t xml:space="preserve">&gt;=该值显示高风险</x:t>
        </x:is>
      </x:c>
    </x:row>
    <x:row r="11">
      <x:c r="A11" s="9" t="inlineStr">
        <x:is>
          <x:t xml:space="preserve">超额度阈值</x:t>
        </x:is>
      </x:c>
      <x:c r="B11" s="11" t="n">
        <x:v>1</x:v>
      </x:c>
      <x:c r="C11" s="9" t="inlineStr">
        <x:is>
          <x:t xml:space="preserve">&gt;=该值显示超额度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22" customWidth="1"/>
    <x:col min="4" max="4" width="10" customWidth="1"/>
    <x:col min="5" max="5" width="10" customWidth="1"/>
    <x:col min="6" max="6" width="13" customWidth="1"/>
    <x:col min="7" max="7" width="12" customWidth="1"/>
    <x:col min="8" max="8" width="10" customWidth="1"/>
    <x:col min="9" max="9" width="10" customWidth="1"/>
    <x:col min="10" max="10" width="14" customWidth="1"/>
    <x:col min="11" max="11" width="10" customWidth="1"/>
    <x:col min="12" max="12" width="20" customWidth="1"/>
    <x:col min="13" max="13" width="16" customWidth="1"/>
    <x:col min="14" max="14" width="12" customWidth="1"/>
    <x:col min="15" max="15" width="12" customWidth="1"/>
  </x:cols>
  <x:sheetData>
    <x:row r="1" ht="24" customHeight="1">
      <x:c r="A1" s="8" t="inlineStr">
        <x:is>
          <x:t xml:space="preserve">客户ID</x:t>
        </x:is>
      </x:c>
      <x:c r="B1" s="8" t="inlineStr">
        <x:is>
          <x:t xml:space="preserve">客户名称</x:t>
        </x:is>
      </x:c>
      <x:c r="C1" s="8" t="inlineStr">
        <x:is>
          <x:t xml:space="preserve">统一社会信用代码</x:t>
        </x:is>
      </x:c>
      <x:c r="D1" s="8" t="inlineStr">
        <x:is>
          <x:t xml:space="preserve">行业</x:t>
        </x:is>
      </x:c>
      <x:c r="E1" s="8" t="inlineStr">
        <x:is>
          <x:t xml:space="preserve">联系人</x:t>
        </x:is>
      </x:c>
      <x:c r="F1" s="8" t="inlineStr">
        <x:is>
          <x:t xml:space="preserve">联系电话</x:t>
        </x:is>
      </x:c>
      <x:c r="G1" s="8" t="inlineStr">
        <x:is>
          <x:t xml:space="preserve">合作开始时间</x:t>
        </x:is>
      </x:c>
      <x:c r="H1" s="8" t="inlineStr">
        <x:is>
          <x:t xml:space="preserve">业务负责人</x:t>
        </x:is>
      </x:c>
      <x:c r="I1" s="8" t="inlineStr">
        <x:is>
          <x:t xml:space="preserve">当前信用等级</x:t>
        </x:is>
      </x:c>
      <x:c r="J1" s="8" t="inlineStr">
        <x:is>
          <x:t xml:space="preserve">信用额度(元)</x:t>
        </x:is>
      </x:c>
      <x:c r="K1" s="8" t="inlineStr">
        <x:is>
          <x:t xml:space="preserve">是否停供</x:t>
        </x:is>
      </x:c>
      <x:c r="L1" s="8" t="inlineStr">
        <x:is>
          <x:t xml:space="preserve">备注</x:t>
        </x:is>
      </x:c>
      <x:c r="M1" s="8" t="inlineStr">
        <x:is>
          <x:t xml:space="preserve">当前应收余额(元)</x:t>
        </x:is>
      </x:c>
      <x:c r="N1" s="8" t="inlineStr">
        <x:is>
          <x:t xml:space="preserve">额度使用率</x:t>
        </x:is>
      </x:c>
      <x:c r="O1" s="8" t="inlineStr">
        <x:is>
          <x:t xml:space="preserve">额度预警</x:t>
        </x:is>
      </x:c>
    </x:row>
    <x:row r="2">
      <x:c r="A2" s="12" t="n"/>
      <x:c r="B2" s="12" t="n"/>
      <x:c r="C2" s="12" t="n"/>
      <x:c r="D2" s="12" t="n"/>
      <x:c r="E2" s="12" t="n"/>
      <x:c r="F2" s="12" t="n"/>
      <x:c r="G2" s="13" t="n"/>
      <x:c r="H2" s="12" t="n"/>
      <x:c r="I2" s="12" t="n"/>
      <x:c r="J2" s="14" t="n"/>
      <x:c r="K2" s="12" t="n"/>
      <x:c r="L2" s="12" t="n"/>
      <x:c r="M2" s="15">
        <x:f>IF($A2="","",SUMIF(AR!$B$2:$B$201,$A2,AR!$H$2:$H$201))</x:f>
      </x:c>
      <x:c r="N2" s="16">
        <x:f>IF(OR($J2="",$J2=0),"",IFERROR($M2/$J2,""))</x:f>
      </x:c>
      <x:c r="O2" s="17">
        <x:f>IF($N2="","",IF($N2&gt;=Params!$B$11,"超额度",IF($N2&gt;=Params!$B$10,"高风险",IF($N2&gt;=Params!$B$9,"预警","正常"))))</x:f>
      </x:c>
    </x:row>
    <x:row r="3">
      <x:c r="A3" s="12" t="n"/>
      <x:c r="B3" s="12" t="n"/>
      <x:c r="C3" s="12" t="n"/>
      <x:c r="D3" s="12" t="n"/>
      <x:c r="E3" s="12" t="n"/>
      <x:c r="F3" s="12" t="n"/>
      <x:c r="G3" s="13" t="n"/>
      <x:c r="H3" s="12" t="n"/>
      <x:c r="I3" s="12" t="n"/>
      <x:c r="J3" s="14" t="n"/>
      <x:c r="K3" s="12" t="n"/>
      <x:c r="L3" s="12" t="n"/>
      <x:c r="M3" s="15">
        <x:f>IF($A3="","",SUMIF(AR!$B$2:$B$201,$A3,AR!$H$2:$H$201))</x:f>
      </x:c>
      <x:c r="N3" s="16">
        <x:f>IF(OR($J3="",$J3=0),"",IFERROR($M3/$J3,""))</x:f>
      </x:c>
      <x:c r="O3" s="17">
        <x:f>IF($N3="","",IF($N3&gt;=Params!$B$11,"超额度",IF($N3&gt;=Params!$B$10,"高风险",IF($N3&gt;=Params!$B$9,"预警","正常"))))</x:f>
      </x:c>
    </x:row>
    <x:row r="4">
      <x:c r="A4" s="12" t="n"/>
      <x:c r="B4" s="12" t="n"/>
      <x:c r="C4" s="12" t="n"/>
      <x:c r="D4" s="12" t="n"/>
      <x:c r="E4" s="12" t="n"/>
      <x:c r="F4" s="12" t="n"/>
      <x:c r="G4" s="13" t="n"/>
      <x:c r="H4" s="12" t="n"/>
      <x:c r="I4" s="12" t="n"/>
      <x:c r="J4" s="14" t="n"/>
      <x:c r="K4" s="12" t="n"/>
      <x:c r="L4" s="12" t="n"/>
      <x:c r="M4" s="15">
        <x:f>IF($A4="","",SUMIF(AR!$B$2:$B$201,$A4,AR!$H$2:$H$201))</x:f>
      </x:c>
      <x:c r="N4" s="16">
        <x:f>IF(OR($J4="",$J4=0),"",IFERROR($M4/$J4,""))</x:f>
      </x:c>
      <x:c r="O4" s="17">
        <x:f>IF($N4="","",IF($N4&gt;=Params!$B$11,"超额度",IF($N4&gt;=Params!$B$10,"高风险",IF($N4&gt;=Params!$B$9,"预警","正常"))))</x:f>
      </x:c>
    </x:row>
    <x:row r="5">
      <x:c r="A5" s="12" t="n"/>
      <x:c r="B5" s="12" t="n"/>
      <x:c r="C5" s="12" t="n"/>
      <x:c r="D5" s="12" t="n"/>
      <x:c r="E5" s="12" t="n"/>
      <x:c r="F5" s="12" t="n"/>
      <x:c r="G5" s="13" t="n"/>
      <x:c r="H5" s="12" t="n"/>
      <x:c r="I5" s="12" t="n"/>
      <x:c r="J5" s="14" t="n"/>
      <x:c r="K5" s="12" t="n"/>
      <x:c r="L5" s="12" t="n"/>
      <x:c r="M5" s="15">
        <x:f>IF($A5="","",SUMIF(AR!$B$2:$B$201,$A5,AR!$H$2:$H$201))</x:f>
      </x:c>
      <x:c r="N5" s="16">
        <x:f>IF(OR($J5="",$J5=0),"",IFERROR($M5/$J5,""))</x:f>
      </x:c>
      <x:c r="O5" s="17">
        <x:f>IF($N5="","",IF($N5&gt;=Params!$B$11,"超额度",IF($N5&gt;=Params!$B$10,"高风险",IF($N5&gt;=Params!$B$9,"预警","正常"))))</x:f>
      </x:c>
    </x:row>
    <x:row r="6">
      <x:c r="A6" s="12" t="n"/>
      <x:c r="B6" s="12" t="n"/>
      <x:c r="C6" s="12" t="n"/>
      <x:c r="D6" s="12" t="n"/>
      <x:c r="E6" s="12" t="n"/>
      <x:c r="F6" s="12" t="n"/>
      <x:c r="G6" s="13" t="n"/>
      <x:c r="H6" s="12" t="n"/>
      <x:c r="I6" s="12" t="n"/>
      <x:c r="J6" s="14" t="n"/>
      <x:c r="K6" s="12" t="n"/>
      <x:c r="L6" s="12" t="n"/>
      <x:c r="M6" s="15">
        <x:f>IF($A6="","",SUMIF(AR!$B$2:$B$201,$A6,AR!$H$2:$H$201))</x:f>
      </x:c>
      <x:c r="N6" s="16">
        <x:f>IF(OR($J6="",$J6=0),"",IFERROR($M6/$J6,""))</x:f>
      </x:c>
      <x:c r="O6" s="17">
        <x:f>IF($N6="","",IF($N6&gt;=Params!$B$11,"超额度",IF($N6&gt;=Params!$B$10,"高风险",IF($N6&gt;=Params!$B$9,"预警","正常"))))</x:f>
      </x:c>
    </x:row>
    <x:row r="7">
      <x:c r="A7" s="12" t="n"/>
      <x:c r="B7" s="12" t="n"/>
      <x:c r="C7" s="12" t="n"/>
      <x:c r="D7" s="12" t="n"/>
      <x:c r="E7" s="12" t="n"/>
      <x:c r="F7" s="12" t="n"/>
      <x:c r="G7" s="13" t="n"/>
      <x:c r="H7" s="12" t="n"/>
      <x:c r="I7" s="12" t="n"/>
      <x:c r="J7" s="14" t="n"/>
      <x:c r="K7" s="12" t="n"/>
      <x:c r="L7" s="12" t="n"/>
      <x:c r="M7" s="15">
        <x:f>IF($A7="","",SUMIF(AR!$B$2:$B$201,$A7,AR!$H$2:$H$201))</x:f>
      </x:c>
      <x:c r="N7" s="16">
        <x:f>IF(OR($J7="",$J7=0),"",IFERROR($M7/$J7,""))</x:f>
      </x:c>
      <x:c r="O7" s="17">
        <x:f>IF($N7="","",IF($N7&gt;=Params!$B$11,"超额度",IF($N7&gt;=Params!$B$10,"高风险",IF($N7&gt;=Params!$B$9,"预警","正常"))))</x:f>
      </x:c>
    </x:row>
    <x:row r="8">
      <x:c r="A8" s="12" t="n"/>
      <x:c r="B8" s="12" t="n"/>
      <x:c r="C8" s="12" t="n"/>
      <x:c r="D8" s="12" t="n"/>
      <x:c r="E8" s="12" t="n"/>
      <x:c r="F8" s="12" t="n"/>
      <x:c r="G8" s="13" t="n"/>
      <x:c r="H8" s="12" t="n"/>
      <x:c r="I8" s="12" t="n"/>
      <x:c r="J8" s="14" t="n"/>
      <x:c r="K8" s="12" t="n"/>
      <x:c r="L8" s="12" t="n"/>
      <x:c r="M8" s="15">
        <x:f>IF($A8="","",SUMIF(AR!$B$2:$B$201,$A8,AR!$H$2:$H$201))</x:f>
      </x:c>
      <x:c r="N8" s="16">
        <x:f>IF(OR($J8="",$J8=0),"",IFERROR($M8/$J8,""))</x:f>
      </x:c>
      <x:c r="O8" s="17">
        <x:f>IF($N8="","",IF($N8&gt;=Params!$B$11,"超额度",IF($N8&gt;=Params!$B$10,"高风险",IF($N8&gt;=Params!$B$9,"预警","正常"))))</x:f>
      </x:c>
    </x:row>
    <x:row r="9">
      <x:c r="A9" s="12" t="n"/>
      <x:c r="B9" s="12" t="n"/>
      <x:c r="C9" s="12" t="n"/>
      <x:c r="D9" s="12" t="n"/>
      <x:c r="E9" s="12" t="n"/>
      <x:c r="F9" s="12" t="n"/>
      <x:c r="G9" s="13" t="n"/>
      <x:c r="H9" s="12" t="n"/>
      <x:c r="I9" s="12" t="n"/>
      <x:c r="J9" s="14" t="n"/>
      <x:c r="K9" s="12" t="n"/>
      <x:c r="L9" s="12" t="n"/>
      <x:c r="M9" s="15">
        <x:f>IF($A9="","",SUMIF(AR!$B$2:$B$201,$A9,AR!$H$2:$H$201))</x:f>
      </x:c>
      <x:c r="N9" s="16">
        <x:f>IF(OR($J9="",$J9=0),"",IFERROR($M9/$J9,""))</x:f>
      </x:c>
      <x:c r="O9" s="17">
        <x:f>IF($N9="","",IF($N9&gt;=Params!$B$11,"超额度",IF($N9&gt;=Params!$B$10,"高风险",IF($N9&gt;=Params!$B$9,"预警","正常"))))</x:f>
      </x:c>
    </x:row>
    <x:row r="10">
      <x:c r="A10" s="12" t="n"/>
      <x:c r="B10" s="12" t="n"/>
      <x:c r="C10" s="12" t="n"/>
      <x:c r="D10" s="12" t="n"/>
      <x:c r="E10" s="12" t="n"/>
      <x:c r="F10" s="12" t="n"/>
      <x:c r="G10" s="13" t="n"/>
      <x:c r="H10" s="12" t="n"/>
      <x:c r="I10" s="12" t="n"/>
      <x:c r="J10" s="14" t="n"/>
      <x:c r="K10" s="12" t="n"/>
      <x:c r="L10" s="12" t="n"/>
      <x:c r="M10" s="15">
        <x:f>IF($A10="","",SUMIF(AR!$B$2:$B$201,$A10,AR!$H$2:$H$201))</x:f>
      </x:c>
      <x:c r="N10" s="16">
        <x:f>IF(OR($J10="",$J10=0),"",IFERROR($M10/$J10,""))</x:f>
      </x:c>
      <x:c r="O10" s="17">
        <x:f>IF($N10="","",IF($N10&gt;=Params!$B$11,"超额度",IF($N10&gt;=Params!$B$10,"高风险",IF($N10&gt;=Params!$B$9,"预警","正常"))))</x:f>
      </x:c>
    </x:row>
    <x:row r="11">
      <x:c r="A11" s="12" t="n"/>
      <x:c r="B11" s="12" t="n"/>
      <x:c r="C11" s="12" t="n"/>
      <x:c r="D11" s="12" t="n"/>
      <x:c r="E11" s="12" t="n"/>
      <x:c r="F11" s="12" t="n"/>
      <x:c r="G11" s="13" t="n"/>
      <x:c r="H11" s="12" t="n"/>
      <x:c r="I11" s="12" t="n"/>
      <x:c r="J11" s="14" t="n"/>
      <x:c r="K11" s="12" t="n"/>
      <x:c r="L11" s="12" t="n"/>
      <x:c r="M11" s="15">
        <x:f>IF($A11="","",SUMIF(AR!$B$2:$B$201,$A11,AR!$H$2:$H$201))</x:f>
      </x:c>
      <x:c r="N11" s="16">
        <x:f>IF(OR($J11="",$J11=0),"",IFERROR($M11/$J11,""))</x:f>
      </x:c>
      <x:c r="O11" s="17">
        <x:f>IF($N11="","",IF($N11&gt;=Params!$B$11,"超额度",IF($N11&gt;=Params!$B$10,"高风险",IF($N11&gt;=Params!$B$9,"预警","正常"))))</x:f>
      </x:c>
    </x:row>
    <x:row r="12">
      <x:c r="A12" s="12" t="n"/>
      <x:c r="B12" s="12" t="n"/>
      <x:c r="C12" s="12" t="n"/>
      <x:c r="D12" s="12" t="n"/>
      <x:c r="E12" s="12" t="n"/>
      <x:c r="F12" s="12" t="n"/>
      <x:c r="G12" s="13" t="n"/>
      <x:c r="H12" s="12" t="n"/>
      <x:c r="I12" s="12" t="n"/>
      <x:c r="J12" s="14" t="n"/>
      <x:c r="K12" s="12" t="n"/>
      <x:c r="L12" s="12" t="n"/>
      <x:c r="M12" s="15">
        <x:f>IF($A12="","",SUMIF(AR!$B$2:$B$201,$A12,AR!$H$2:$H$201))</x:f>
      </x:c>
      <x:c r="N12" s="16">
        <x:f>IF(OR($J12="",$J12=0),"",IFERROR($M12/$J12,""))</x:f>
      </x:c>
      <x:c r="O12" s="17">
        <x:f>IF($N12="","",IF($N12&gt;=Params!$B$11,"超额度",IF($N12&gt;=Params!$B$10,"高风险",IF($N12&gt;=Params!$B$9,"预警","正常"))))</x:f>
      </x:c>
    </x:row>
    <x:row r="13">
      <x:c r="A13" s="12" t="n"/>
      <x:c r="B13" s="12" t="n"/>
      <x:c r="C13" s="12" t="n"/>
      <x:c r="D13" s="12" t="n"/>
      <x:c r="E13" s="12" t="n"/>
      <x:c r="F13" s="12" t="n"/>
      <x:c r="G13" s="13" t="n"/>
      <x:c r="H13" s="12" t="n"/>
      <x:c r="I13" s="12" t="n"/>
      <x:c r="J13" s="14" t="n"/>
      <x:c r="K13" s="12" t="n"/>
      <x:c r="L13" s="12" t="n"/>
      <x:c r="M13" s="15">
        <x:f>IF($A13="","",SUMIF(AR!$B$2:$B$201,$A13,AR!$H$2:$H$201))</x:f>
      </x:c>
      <x:c r="N13" s="16">
        <x:f>IF(OR($J13="",$J13=0),"",IFERROR($M13/$J13,""))</x:f>
      </x:c>
      <x:c r="O13" s="17">
        <x:f>IF($N13="","",IF($N13&gt;=Params!$B$11,"超额度",IF($N13&gt;=Params!$B$10,"高风险",IF($N13&gt;=Params!$B$9,"预警","正常"))))</x:f>
      </x:c>
    </x:row>
    <x:row r="14">
      <x:c r="A14" s="12" t="n"/>
      <x:c r="B14" s="12" t="n"/>
      <x:c r="C14" s="12" t="n"/>
      <x:c r="D14" s="12" t="n"/>
      <x:c r="E14" s="12" t="n"/>
      <x:c r="F14" s="12" t="n"/>
      <x:c r="G14" s="13" t="n"/>
      <x:c r="H14" s="12" t="n"/>
      <x:c r="I14" s="12" t="n"/>
      <x:c r="J14" s="14" t="n"/>
      <x:c r="K14" s="12" t="n"/>
      <x:c r="L14" s="12" t="n"/>
      <x:c r="M14" s="15">
        <x:f>IF($A14="","",SUMIF(AR!$B$2:$B$201,$A14,AR!$H$2:$H$201))</x:f>
      </x:c>
      <x:c r="N14" s="16">
        <x:f>IF(OR($J14="",$J14=0),"",IFERROR($M14/$J14,""))</x:f>
      </x:c>
      <x:c r="O14" s="17">
        <x:f>IF($N14="","",IF($N14&gt;=Params!$B$11,"超额度",IF($N14&gt;=Params!$B$10,"高风险",IF($N14&gt;=Params!$B$9,"预警","正常"))))</x:f>
      </x:c>
    </x:row>
    <x:row r="15">
      <x:c r="A15" s="12" t="n"/>
      <x:c r="B15" s="12" t="n"/>
      <x:c r="C15" s="12" t="n"/>
      <x:c r="D15" s="12" t="n"/>
      <x:c r="E15" s="12" t="n"/>
      <x:c r="F15" s="12" t="n"/>
      <x:c r="G15" s="13" t="n"/>
      <x:c r="H15" s="12" t="n"/>
      <x:c r="I15" s="12" t="n"/>
      <x:c r="J15" s="14" t="n"/>
      <x:c r="K15" s="12" t="n"/>
      <x:c r="L15" s="12" t="n"/>
      <x:c r="M15" s="15">
        <x:f>IF($A15="","",SUMIF(AR!$B$2:$B$201,$A15,AR!$H$2:$H$201))</x:f>
      </x:c>
      <x:c r="N15" s="16">
        <x:f>IF(OR($J15="",$J15=0),"",IFERROR($M15/$J15,""))</x:f>
      </x:c>
      <x:c r="O15" s="17">
        <x:f>IF($N15="","",IF($N15&gt;=Params!$B$11,"超额度",IF($N15&gt;=Params!$B$10,"高风险",IF($N15&gt;=Params!$B$9,"预警","正常"))))</x:f>
      </x:c>
    </x:row>
    <x:row r="16">
      <x:c r="A16" s="12" t="n"/>
      <x:c r="B16" s="12" t="n"/>
      <x:c r="C16" s="12" t="n"/>
      <x:c r="D16" s="12" t="n"/>
      <x:c r="E16" s="12" t="n"/>
      <x:c r="F16" s="12" t="n"/>
      <x:c r="G16" s="13" t="n"/>
      <x:c r="H16" s="12" t="n"/>
      <x:c r="I16" s="12" t="n"/>
      <x:c r="J16" s="14" t="n"/>
      <x:c r="K16" s="12" t="n"/>
      <x:c r="L16" s="12" t="n"/>
      <x:c r="M16" s="15">
        <x:f>IF($A16="","",SUMIF(AR!$B$2:$B$201,$A16,AR!$H$2:$H$201))</x:f>
      </x:c>
      <x:c r="N16" s="16">
        <x:f>IF(OR($J16="",$J16=0),"",IFERROR($M16/$J16,""))</x:f>
      </x:c>
      <x:c r="O16" s="17">
        <x:f>IF($N16="","",IF($N16&gt;=Params!$B$11,"超额度",IF($N16&gt;=Params!$B$10,"高风险",IF($N16&gt;=Params!$B$9,"预警","正常"))))</x:f>
      </x:c>
    </x:row>
    <x:row r="17">
      <x:c r="A17" s="12" t="n"/>
      <x:c r="B17" s="12" t="n"/>
      <x:c r="C17" s="12" t="n"/>
      <x:c r="D17" s="12" t="n"/>
      <x:c r="E17" s="12" t="n"/>
      <x:c r="F17" s="12" t="n"/>
      <x:c r="G17" s="13" t="n"/>
      <x:c r="H17" s="12" t="n"/>
      <x:c r="I17" s="12" t="n"/>
      <x:c r="J17" s="14" t="n"/>
      <x:c r="K17" s="12" t="n"/>
      <x:c r="L17" s="12" t="n"/>
      <x:c r="M17" s="15">
        <x:f>IF($A17="","",SUMIF(AR!$B$2:$B$201,$A17,AR!$H$2:$H$201))</x:f>
      </x:c>
      <x:c r="N17" s="16">
        <x:f>IF(OR($J17="",$J17=0),"",IFERROR($M17/$J17,""))</x:f>
      </x:c>
      <x:c r="O17" s="17">
        <x:f>IF($N17="","",IF($N17&gt;=Params!$B$11,"超额度",IF($N17&gt;=Params!$B$10,"高风险",IF($N17&gt;=Params!$B$9,"预警","正常"))))</x:f>
      </x:c>
    </x:row>
    <x:row r="18">
      <x:c r="A18" s="12" t="n"/>
      <x:c r="B18" s="12" t="n"/>
      <x:c r="C18" s="12" t="n"/>
      <x:c r="D18" s="12" t="n"/>
      <x:c r="E18" s="12" t="n"/>
      <x:c r="F18" s="12" t="n"/>
      <x:c r="G18" s="13" t="n"/>
      <x:c r="H18" s="12" t="n"/>
      <x:c r="I18" s="12" t="n"/>
      <x:c r="J18" s="14" t="n"/>
      <x:c r="K18" s="12" t="n"/>
      <x:c r="L18" s="12" t="n"/>
      <x:c r="M18" s="15">
        <x:f>IF($A18="","",SUMIF(AR!$B$2:$B$201,$A18,AR!$H$2:$H$201))</x:f>
      </x:c>
      <x:c r="N18" s="16">
        <x:f>IF(OR($J18="",$J18=0),"",IFERROR($M18/$J18,""))</x:f>
      </x:c>
      <x:c r="O18" s="17">
        <x:f>IF($N18="","",IF($N18&gt;=Params!$B$11,"超额度",IF($N18&gt;=Params!$B$10,"高风险",IF($N18&gt;=Params!$B$9,"预警","正常"))))</x:f>
      </x:c>
    </x:row>
    <x:row r="19">
      <x:c r="A19" s="12" t="n"/>
      <x:c r="B19" s="12" t="n"/>
      <x:c r="C19" s="12" t="n"/>
      <x:c r="D19" s="12" t="n"/>
      <x:c r="E19" s="12" t="n"/>
      <x:c r="F19" s="12" t="n"/>
      <x:c r="G19" s="13" t="n"/>
      <x:c r="H19" s="12" t="n"/>
      <x:c r="I19" s="12" t="n"/>
      <x:c r="J19" s="14" t="n"/>
      <x:c r="K19" s="12" t="n"/>
      <x:c r="L19" s="12" t="n"/>
      <x:c r="M19" s="15">
        <x:f>IF($A19="","",SUMIF(AR!$B$2:$B$201,$A19,AR!$H$2:$H$201))</x:f>
      </x:c>
      <x:c r="N19" s="16">
        <x:f>IF(OR($J19="",$J19=0),"",IFERROR($M19/$J19,""))</x:f>
      </x:c>
      <x:c r="O19" s="17">
        <x:f>IF($N19="","",IF($N19&gt;=Params!$B$11,"超额度",IF($N19&gt;=Params!$B$10,"高风险",IF($N19&gt;=Params!$B$9,"预警","正常"))))</x:f>
      </x:c>
    </x:row>
    <x:row r="20">
      <x:c r="A20" s="12" t="n"/>
      <x:c r="B20" s="12" t="n"/>
      <x:c r="C20" s="12" t="n"/>
      <x:c r="D20" s="12" t="n"/>
      <x:c r="E20" s="12" t="n"/>
      <x:c r="F20" s="12" t="n"/>
      <x:c r="G20" s="13" t="n"/>
      <x:c r="H20" s="12" t="n"/>
      <x:c r="I20" s="12" t="n"/>
      <x:c r="J20" s="14" t="n"/>
      <x:c r="K20" s="12" t="n"/>
      <x:c r="L20" s="12" t="n"/>
      <x:c r="M20" s="15">
        <x:f>IF($A20="","",SUMIF(AR!$B$2:$B$201,$A20,AR!$H$2:$H$201))</x:f>
      </x:c>
      <x:c r="N20" s="16">
        <x:f>IF(OR($J20="",$J20=0),"",IFERROR($M20/$J20,""))</x:f>
      </x:c>
      <x:c r="O20" s="17">
        <x:f>IF($N20="","",IF($N20&gt;=Params!$B$11,"超额度",IF($N20&gt;=Params!$B$10,"高风险",IF($N20&gt;=Params!$B$9,"预警","正常"))))</x:f>
      </x:c>
    </x:row>
    <x:row r="21">
      <x:c r="A21" s="12" t="n"/>
      <x:c r="B21" s="12" t="n"/>
      <x:c r="C21" s="12" t="n"/>
      <x:c r="D21" s="12" t="n"/>
      <x:c r="E21" s="12" t="n"/>
      <x:c r="F21" s="12" t="n"/>
      <x:c r="G21" s="13" t="n"/>
      <x:c r="H21" s="12" t="n"/>
      <x:c r="I21" s="12" t="n"/>
      <x:c r="J21" s="14" t="n"/>
      <x:c r="K21" s="12" t="n"/>
      <x:c r="L21" s="12" t="n"/>
      <x:c r="M21" s="15">
        <x:f>IF($A21="","",SUMIF(AR!$B$2:$B$201,$A21,AR!$H$2:$H$201))</x:f>
      </x:c>
      <x:c r="N21" s="16">
        <x:f>IF(OR($J21="",$J21=0),"",IFERROR($M21/$J21,""))</x:f>
      </x:c>
      <x:c r="O21" s="17">
        <x:f>IF($N21="","",IF($N21&gt;=Params!$B$11,"超额度",IF($N21&gt;=Params!$B$10,"高风险",IF($N21&gt;=Params!$B$9,"预警","正常"))))</x:f>
      </x:c>
    </x:row>
    <x:row r="22">
      <x:c r="A22" s="12" t="n"/>
      <x:c r="B22" s="12" t="n"/>
      <x:c r="C22" s="12" t="n"/>
      <x:c r="D22" s="12" t="n"/>
      <x:c r="E22" s="12" t="n"/>
      <x:c r="F22" s="12" t="n"/>
      <x:c r="G22" s="13" t="n"/>
      <x:c r="H22" s="12" t="n"/>
      <x:c r="I22" s="12" t="n"/>
      <x:c r="J22" s="14" t="n"/>
      <x:c r="K22" s="12" t="n"/>
      <x:c r="L22" s="12" t="n"/>
      <x:c r="M22" s="15">
        <x:f>IF($A22="","",SUMIF(AR!$B$2:$B$201,$A22,AR!$H$2:$H$201))</x:f>
      </x:c>
      <x:c r="N22" s="16">
        <x:f>IF(OR($J22="",$J22=0),"",IFERROR($M22/$J22,""))</x:f>
      </x:c>
      <x:c r="O22" s="17">
        <x:f>IF($N22="","",IF($N22&gt;=Params!$B$11,"超额度",IF($N22&gt;=Params!$B$10,"高风险",IF($N22&gt;=Params!$B$9,"预警","正常"))))</x:f>
      </x:c>
    </x:row>
    <x:row r="23">
      <x:c r="A23" s="12" t="n"/>
      <x:c r="B23" s="12" t="n"/>
      <x:c r="C23" s="12" t="n"/>
      <x:c r="D23" s="12" t="n"/>
      <x:c r="E23" s="12" t="n"/>
      <x:c r="F23" s="12" t="n"/>
      <x:c r="G23" s="13" t="n"/>
      <x:c r="H23" s="12" t="n"/>
      <x:c r="I23" s="12" t="n"/>
      <x:c r="J23" s="14" t="n"/>
      <x:c r="K23" s="12" t="n"/>
      <x:c r="L23" s="12" t="n"/>
      <x:c r="M23" s="15">
        <x:f>IF($A23="","",SUMIF(AR!$B$2:$B$201,$A23,AR!$H$2:$H$201))</x:f>
      </x:c>
      <x:c r="N23" s="16">
        <x:f>IF(OR($J23="",$J23=0),"",IFERROR($M23/$J23,""))</x:f>
      </x:c>
      <x:c r="O23" s="17">
        <x:f>IF($N23="","",IF($N23&gt;=Params!$B$11,"超额度",IF($N23&gt;=Params!$B$10,"高风险",IF($N23&gt;=Params!$B$9,"预警","正常"))))</x:f>
      </x:c>
    </x:row>
    <x:row r="24">
      <x:c r="A24" s="12" t="n"/>
      <x:c r="B24" s="12" t="n"/>
      <x:c r="C24" s="12" t="n"/>
      <x:c r="D24" s="12" t="n"/>
      <x:c r="E24" s="12" t="n"/>
      <x:c r="F24" s="12" t="n"/>
      <x:c r="G24" s="13" t="n"/>
      <x:c r="H24" s="12" t="n"/>
      <x:c r="I24" s="12" t="n"/>
      <x:c r="J24" s="14" t="n"/>
      <x:c r="K24" s="12" t="n"/>
      <x:c r="L24" s="12" t="n"/>
      <x:c r="M24" s="15">
        <x:f>IF($A24="","",SUMIF(AR!$B$2:$B$201,$A24,AR!$H$2:$H$201))</x:f>
      </x:c>
      <x:c r="N24" s="16">
        <x:f>IF(OR($J24="",$J24=0),"",IFERROR($M24/$J24,""))</x:f>
      </x:c>
      <x:c r="O24" s="17">
        <x:f>IF($N24="","",IF($N24&gt;=Params!$B$11,"超额度",IF($N24&gt;=Params!$B$10,"高风险",IF($N24&gt;=Params!$B$9,"预警","正常"))))</x:f>
      </x:c>
    </x:row>
    <x:row r="25">
      <x:c r="A25" s="12" t="n"/>
      <x:c r="B25" s="12" t="n"/>
      <x:c r="C25" s="12" t="n"/>
      <x:c r="D25" s="12" t="n"/>
      <x:c r="E25" s="12" t="n"/>
      <x:c r="F25" s="12" t="n"/>
      <x:c r="G25" s="13" t="n"/>
      <x:c r="H25" s="12" t="n"/>
      <x:c r="I25" s="12" t="n"/>
      <x:c r="J25" s="14" t="n"/>
      <x:c r="K25" s="12" t="n"/>
      <x:c r="L25" s="12" t="n"/>
      <x:c r="M25" s="15">
        <x:f>IF($A25="","",SUMIF(AR!$B$2:$B$201,$A25,AR!$H$2:$H$201))</x:f>
      </x:c>
      <x:c r="N25" s="16">
        <x:f>IF(OR($J25="",$J25=0),"",IFERROR($M25/$J25,""))</x:f>
      </x:c>
      <x:c r="O25" s="17">
        <x:f>IF($N25="","",IF($N25&gt;=Params!$B$11,"超额度",IF($N25&gt;=Params!$B$10,"高风险",IF($N25&gt;=Params!$B$9,"预警","正常"))))</x:f>
      </x:c>
    </x:row>
    <x:row r="26">
      <x:c r="A26" s="12" t="n"/>
      <x:c r="B26" s="12" t="n"/>
      <x:c r="C26" s="12" t="n"/>
      <x:c r="D26" s="12" t="n"/>
      <x:c r="E26" s="12" t="n"/>
      <x:c r="F26" s="12" t="n"/>
      <x:c r="G26" s="13" t="n"/>
      <x:c r="H26" s="12" t="n"/>
      <x:c r="I26" s="12" t="n"/>
      <x:c r="J26" s="14" t="n"/>
      <x:c r="K26" s="12" t="n"/>
      <x:c r="L26" s="12" t="n"/>
      <x:c r="M26" s="15">
        <x:f>IF($A26="","",SUMIF(AR!$B$2:$B$201,$A26,AR!$H$2:$H$201))</x:f>
      </x:c>
      <x:c r="N26" s="16">
        <x:f>IF(OR($J26="",$J26=0),"",IFERROR($M26/$J26,""))</x:f>
      </x:c>
      <x:c r="O26" s="17">
        <x:f>IF($N26="","",IF($N26&gt;=Params!$B$11,"超额度",IF($N26&gt;=Params!$B$10,"高风险",IF($N26&gt;=Params!$B$9,"预警","正常"))))</x:f>
      </x:c>
    </x:row>
    <x:row r="27">
      <x:c r="A27" s="12" t="n"/>
      <x:c r="B27" s="12" t="n"/>
      <x:c r="C27" s="12" t="n"/>
      <x:c r="D27" s="12" t="n"/>
      <x:c r="E27" s="12" t="n"/>
      <x:c r="F27" s="12" t="n"/>
      <x:c r="G27" s="13" t="n"/>
      <x:c r="H27" s="12" t="n"/>
      <x:c r="I27" s="12" t="n"/>
      <x:c r="J27" s="14" t="n"/>
      <x:c r="K27" s="12" t="n"/>
      <x:c r="L27" s="12" t="n"/>
      <x:c r="M27" s="15">
        <x:f>IF($A27="","",SUMIF(AR!$B$2:$B$201,$A27,AR!$H$2:$H$201))</x:f>
      </x:c>
      <x:c r="N27" s="16">
        <x:f>IF(OR($J27="",$J27=0),"",IFERROR($M27/$J27,""))</x:f>
      </x:c>
      <x:c r="O27" s="17">
        <x:f>IF($N27="","",IF($N27&gt;=Params!$B$11,"超额度",IF($N27&gt;=Params!$B$10,"高风险",IF($N27&gt;=Params!$B$9,"预警","正常"))))</x:f>
      </x:c>
    </x:row>
    <x:row r="28">
      <x:c r="A28" s="12" t="n"/>
      <x:c r="B28" s="12" t="n"/>
      <x:c r="C28" s="12" t="n"/>
      <x:c r="D28" s="12" t="n"/>
      <x:c r="E28" s="12" t="n"/>
      <x:c r="F28" s="12" t="n"/>
      <x:c r="G28" s="13" t="n"/>
      <x:c r="H28" s="12" t="n"/>
      <x:c r="I28" s="12" t="n"/>
      <x:c r="J28" s="14" t="n"/>
      <x:c r="K28" s="12" t="n"/>
      <x:c r="L28" s="12" t="n"/>
      <x:c r="M28" s="15">
        <x:f>IF($A28="","",SUMIF(AR!$B$2:$B$201,$A28,AR!$H$2:$H$201))</x:f>
      </x:c>
      <x:c r="N28" s="16">
        <x:f>IF(OR($J28="",$J28=0),"",IFERROR($M28/$J28,""))</x:f>
      </x:c>
      <x:c r="O28" s="17">
        <x:f>IF($N28="","",IF($N28&gt;=Params!$B$11,"超额度",IF($N28&gt;=Params!$B$10,"高风险",IF($N28&gt;=Params!$B$9,"预警","正常"))))</x:f>
      </x:c>
    </x:row>
    <x:row r="29">
      <x:c r="A29" s="12" t="n"/>
      <x:c r="B29" s="12" t="n"/>
      <x:c r="C29" s="12" t="n"/>
      <x:c r="D29" s="12" t="n"/>
      <x:c r="E29" s="12" t="n"/>
      <x:c r="F29" s="12" t="n"/>
      <x:c r="G29" s="13" t="n"/>
      <x:c r="H29" s="12" t="n"/>
      <x:c r="I29" s="12" t="n"/>
      <x:c r="J29" s="14" t="n"/>
      <x:c r="K29" s="12" t="n"/>
      <x:c r="L29" s="12" t="n"/>
      <x:c r="M29" s="15">
        <x:f>IF($A29="","",SUMIF(AR!$B$2:$B$201,$A29,AR!$H$2:$H$201))</x:f>
      </x:c>
      <x:c r="N29" s="16">
        <x:f>IF(OR($J29="",$J29=0),"",IFERROR($M29/$J29,""))</x:f>
      </x:c>
      <x:c r="O29" s="17">
        <x:f>IF($N29="","",IF($N29&gt;=Params!$B$11,"超额度",IF($N29&gt;=Params!$B$10,"高风险",IF($N29&gt;=Params!$B$9,"预警","正常"))))</x:f>
      </x:c>
    </x:row>
    <x:row r="30">
      <x:c r="A30" s="12" t="n"/>
      <x:c r="B30" s="12" t="n"/>
      <x:c r="C30" s="12" t="n"/>
      <x:c r="D30" s="12" t="n"/>
      <x:c r="E30" s="12" t="n"/>
      <x:c r="F30" s="12" t="n"/>
      <x:c r="G30" s="13" t="n"/>
      <x:c r="H30" s="12" t="n"/>
      <x:c r="I30" s="12" t="n"/>
      <x:c r="J30" s="14" t="n"/>
      <x:c r="K30" s="12" t="n"/>
      <x:c r="L30" s="12" t="n"/>
      <x:c r="M30" s="15">
        <x:f>IF($A30="","",SUMIF(AR!$B$2:$B$201,$A30,AR!$H$2:$H$201))</x:f>
      </x:c>
      <x:c r="N30" s="16">
        <x:f>IF(OR($J30="",$J30=0),"",IFERROR($M30/$J30,""))</x:f>
      </x:c>
      <x:c r="O30" s="17">
        <x:f>IF($N30="","",IF($N30&gt;=Params!$B$11,"超额度",IF($N30&gt;=Params!$B$10,"高风险",IF($N30&gt;=Params!$B$9,"预警","正常"))))</x:f>
      </x:c>
    </x:row>
    <x:row r="31">
      <x:c r="A31" s="12" t="n"/>
      <x:c r="B31" s="12" t="n"/>
      <x:c r="C31" s="12" t="n"/>
      <x:c r="D31" s="12" t="n"/>
      <x:c r="E31" s="12" t="n"/>
      <x:c r="F31" s="12" t="n"/>
      <x:c r="G31" s="13" t="n"/>
      <x:c r="H31" s="12" t="n"/>
      <x:c r="I31" s="12" t="n"/>
      <x:c r="J31" s="14" t="n"/>
      <x:c r="K31" s="12" t="n"/>
      <x:c r="L31" s="12" t="n"/>
      <x:c r="M31" s="15">
        <x:f>IF($A31="","",SUMIF(AR!$B$2:$B$201,$A31,AR!$H$2:$H$201))</x:f>
      </x:c>
      <x:c r="N31" s="16">
        <x:f>IF(OR($J31="",$J31=0),"",IFERROR($M31/$J31,""))</x:f>
      </x:c>
      <x:c r="O31" s="17">
        <x:f>IF($N31="","",IF($N31&gt;=Params!$B$11,"超额度",IF($N31&gt;=Params!$B$10,"高风险",IF($N31&gt;=Params!$B$9,"预警","正常"))))</x:f>
      </x:c>
    </x:row>
    <x:row r="32">
      <x:c r="A32" s="12" t="n"/>
      <x:c r="B32" s="12" t="n"/>
      <x:c r="C32" s="12" t="n"/>
      <x:c r="D32" s="12" t="n"/>
      <x:c r="E32" s="12" t="n"/>
      <x:c r="F32" s="12" t="n"/>
      <x:c r="G32" s="13" t="n"/>
      <x:c r="H32" s="12" t="n"/>
      <x:c r="I32" s="12" t="n"/>
      <x:c r="J32" s="14" t="n"/>
      <x:c r="K32" s="12" t="n"/>
      <x:c r="L32" s="12" t="n"/>
      <x:c r="M32" s="15">
        <x:f>IF($A32="","",SUMIF(AR!$B$2:$B$201,$A32,AR!$H$2:$H$201))</x:f>
      </x:c>
      <x:c r="N32" s="16">
        <x:f>IF(OR($J32="",$J32=0),"",IFERROR($M32/$J32,""))</x:f>
      </x:c>
      <x:c r="O32" s="17">
        <x:f>IF($N32="","",IF($N32&gt;=Params!$B$11,"超额度",IF($N32&gt;=Params!$B$10,"高风险",IF($N32&gt;=Params!$B$9,"预警","正常"))))</x:f>
      </x:c>
    </x:row>
    <x:row r="33">
      <x:c r="A33" s="12" t="n"/>
      <x:c r="B33" s="12" t="n"/>
      <x:c r="C33" s="12" t="n"/>
      <x:c r="D33" s="12" t="n"/>
      <x:c r="E33" s="12" t="n"/>
      <x:c r="F33" s="12" t="n"/>
      <x:c r="G33" s="13" t="n"/>
      <x:c r="H33" s="12" t="n"/>
      <x:c r="I33" s="12" t="n"/>
      <x:c r="J33" s="14" t="n"/>
      <x:c r="K33" s="12" t="n"/>
      <x:c r="L33" s="12" t="n"/>
      <x:c r="M33" s="15">
        <x:f>IF($A33="","",SUMIF(AR!$B$2:$B$201,$A33,AR!$H$2:$H$201))</x:f>
      </x:c>
      <x:c r="N33" s="16">
        <x:f>IF(OR($J33="",$J33=0),"",IFERROR($M33/$J33,""))</x:f>
      </x:c>
      <x:c r="O33" s="17">
        <x:f>IF($N33="","",IF($N33&gt;=Params!$B$11,"超额度",IF($N33&gt;=Params!$B$10,"高风险",IF($N33&gt;=Params!$B$9,"预警","正常"))))</x:f>
      </x:c>
    </x:row>
    <x:row r="34">
      <x:c r="A34" s="12" t="n"/>
      <x:c r="B34" s="12" t="n"/>
      <x:c r="C34" s="12" t="n"/>
      <x:c r="D34" s="12" t="n"/>
      <x:c r="E34" s="12" t="n"/>
      <x:c r="F34" s="12" t="n"/>
      <x:c r="G34" s="13" t="n"/>
      <x:c r="H34" s="12" t="n"/>
      <x:c r="I34" s="12" t="n"/>
      <x:c r="J34" s="14" t="n"/>
      <x:c r="K34" s="12" t="n"/>
      <x:c r="L34" s="12" t="n"/>
      <x:c r="M34" s="15">
        <x:f>IF($A34="","",SUMIF(AR!$B$2:$B$201,$A34,AR!$H$2:$H$201))</x:f>
      </x:c>
      <x:c r="N34" s="16">
        <x:f>IF(OR($J34="",$J34=0),"",IFERROR($M34/$J34,""))</x:f>
      </x:c>
      <x:c r="O34" s="17">
        <x:f>IF($N34="","",IF($N34&gt;=Params!$B$11,"超额度",IF($N34&gt;=Params!$B$10,"高风险",IF($N34&gt;=Params!$B$9,"预警","正常"))))</x:f>
      </x:c>
    </x:row>
    <x:row r="35">
      <x:c r="A35" s="12" t="n"/>
      <x:c r="B35" s="12" t="n"/>
      <x:c r="C35" s="12" t="n"/>
      <x:c r="D35" s="12" t="n"/>
      <x:c r="E35" s="12" t="n"/>
      <x:c r="F35" s="12" t="n"/>
      <x:c r="G35" s="13" t="n"/>
      <x:c r="H35" s="12" t="n"/>
      <x:c r="I35" s="12" t="n"/>
      <x:c r="J35" s="14" t="n"/>
      <x:c r="K35" s="12" t="n"/>
      <x:c r="L35" s="12" t="n"/>
      <x:c r="M35" s="15">
        <x:f>IF($A35="","",SUMIF(AR!$B$2:$B$201,$A35,AR!$H$2:$H$201))</x:f>
      </x:c>
      <x:c r="N35" s="16">
        <x:f>IF(OR($J35="",$J35=0),"",IFERROR($M35/$J35,""))</x:f>
      </x:c>
      <x:c r="O35" s="17">
        <x:f>IF($N35="","",IF($N35&gt;=Params!$B$11,"超额度",IF($N35&gt;=Params!$B$10,"高风险",IF($N35&gt;=Params!$B$9,"预警","正常"))))</x:f>
      </x:c>
    </x:row>
    <x:row r="36">
      <x:c r="A36" s="12" t="n"/>
      <x:c r="B36" s="12" t="n"/>
      <x:c r="C36" s="12" t="n"/>
      <x:c r="D36" s="12" t="n"/>
      <x:c r="E36" s="12" t="n"/>
      <x:c r="F36" s="12" t="n"/>
      <x:c r="G36" s="13" t="n"/>
      <x:c r="H36" s="12" t="n"/>
      <x:c r="I36" s="12" t="n"/>
      <x:c r="J36" s="14" t="n"/>
      <x:c r="K36" s="12" t="n"/>
      <x:c r="L36" s="12" t="n"/>
      <x:c r="M36" s="15">
        <x:f>IF($A36="","",SUMIF(AR!$B$2:$B$201,$A36,AR!$H$2:$H$201))</x:f>
      </x:c>
      <x:c r="N36" s="16">
        <x:f>IF(OR($J36="",$J36=0),"",IFERROR($M36/$J36,""))</x:f>
      </x:c>
      <x:c r="O36" s="17">
        <x:f>IF($N36="","",IF($N36&gt;=Params!$B$11,"超额度",IF($N36&gt;=Params!$B$10,"高风险",IF($N36&gt;=Params!$B$9,"预警","正常"))))</x:f>
      </x:c>
    </x:row>
    <x:row r="37">
      <x:c r="A37" s="12" t="n"/>
      <x:c r="B37" s="12" t="n"/>
      <x:c r="C37" s="12" t="n"/>
      <x:c r="D37" s="12" t="n"/>
      <x:c r="E37" s="12" t="n"/>
      <x:c r="F37" s="12" t="n"/>
      <x:c r="G37" s="13" t="n"/>
      <x:c r="H37" s="12" t="n"/>
      <x:c r="I37" s="12" t="n"/>
      <x:c r="J37" s="14" t="n"/>
      <x:c r="K37" s="12" t="n"/>
      <x:c r="L37" s="12" t="n"/>
      <x:c r="M37" s="15">
        <x:f>IF($A37="","",SUMIF(AR!$B$2:$B$201,$A37,AR!$H$2:$H$201))</x:f>
      </x:c>
      <x:c r="N37" s="16">
        <x:f>IF(OR($J37="",$J37=0),"",IFERROR($M37/$J37,""))</x:f>
      </x:c>
      <x:c r="O37" s="17">
        <x:f>IF($N37="","",IF($N37&gt;=Params!$B$11,"超额度",IF($N37&gt;=Params!$B$10,"高风险",IF($N37&gt;=Params!$B$9,"预警","正常"))))</x:f>
      </x:c>
    </x:row>
    <x:row r="38">
      <x:c r="A38" s="12" t="n"/>
      <x:c r="B38" s="12" t="n"/>
      <x:c r="C38" s="12" t="n"/>
      <x:c r="D38" s="12" t="n"/>
      <x:c r="E38" s="12" t="n"/>
      <x:c r="F38" s="12" t="n"/>
      <x:c r="G38" s="13" t="n"/>
      <x:c r="H38" s="12" t="n"/>
      <x:c r="I38" s="12" t="n"/>
      <x:c r="J38" s="14" t="n"/>
      <x:c r="K38" s="12" t="n"/>
      <x:c r="L38" s="12" t="n"/>
      <x:c r="M38" s="15">
        <x:f>IF($A38="","",SUMIF(AR!$B$2:$B$201,$A38,AR!$H$2:$H$201))</x:f>
      </x:c>
      <x:c r="N38" s="16">
        <x:f>IF(OR($J38="",$J38=0),"",IFERROR($M38/$J38,""))</x:f>
      </x:c>
      <x:c r="O38" s="17">
        <x:f>IF($N38="","",IF($N38&gt;=Params!$B$11,"超额度",IF($N38&gt;=Params!$B$10,"高风险",IF($N38&gt;=Params!$B$9,"预警","正常"))))</x:f>
      </x:c>
    </x:row>
    <x:row r="39">
      <x:c r="A39" s="12" t="n"/>
      <x:c r="B39" s="12" t="n"/>
      <x:c r="C39" s="12" t="n"/>
      <x:c r="D39" s="12" t="n"/>
      <x:c r="E39" s="12" t="n"/>
      <x:c r="F39" s="12" t="n"/>
      <x:c r="G39" s="13" t="n"/>
      <x:c r="H39" s="12" t="n"/>
      <x:c r="I39" s="12" t="n"/>
      <x:c r="J39" s="14" t="n"/>
      <x:c r="K39" s="12" t="n"/>
      <x:c r="L39" s="12" t="n"/>
      <x:c r="M39" s="15">
        <x:f>IF($A39="","",SUMIF(AR!$B$2:$B$201,$A39,AR!$H$2:$H$201))</x:f>
      </x:c>
      <x:c r="N39" s="16">
        <x:f>IF(OR($J39="",$J39=0),"",IFERROR($M39/$J39,""))</x:f>
      </x:c>
      <x:c r="O39" s="17">
        <x:f>IF($N39="","",IF($N39&gt;=Params!$B$11,"超额度",IF($N39&gt;=Params!$B$10,"高风险",IF($N39&gt;=Params!$B$9,"预警","正常"))))</x:f>
      </x:c>
    </x:row>
    <x:row r="40">
      <x:c r="A40" s="12" t="n"/>
      <x:c r="B40" s="12" t="n"/>
      <x:c r="C40" s="12" t="n"/>
      <x:c r="D40" s="12" t="n"/>
      <x:c r="E40" s="12" t="n"/>
      <x:c r="F40" s="12" t="n"/>
      <x:c r="G40" s="13" t="n"/>
      <x:c r="H40" s="12" t="n"/>
      <x:c r="I40" s="12" t="n"/>
      <x:c r="J40" s="14" t="n"/>
      <x:c r="K40" s="12" t="n"/>
      <x:c r="L40" s="12" t="n"/>
      <x:c r="M40" s="15">
        <x:f>IF($A40="","",SUMIF(AR!$B$2:$B$201,$A40,AR!$H$2:$H$201))</x:f>
      </x:c>
      <x:c r="N40" s="16">
        <x:f>IF(OR($J40="",$J40=0),"",IFERROR($M40/$J40,""))</x:f>
      </x:c>
      <x:c r="O40" s="17">
        <x:f>IF($N40="","",IF($N40&gt;=Params!$B$11,"超额度",IF($N40&gt;=Params!$B$10,"高风险",IF($N40&gt;=Params!$B$9,"预警","正常"))))</x:f>
      </x:c>
    </x:row>
    <x:row r="41">
      <x:c r="A41" s="12" t="n"/>
      <x:c r="B41" s="12" t="n"/>
      <x:c r="C41" s="12" t="n"/>
      <x:c r="D41" s="12" t="n"/>
      <x:c r="E41" s="12" t="n"/>
      <x:c r="F41" s="12" t="n"/>
      <x:c r="G41" s="13" t="n"/>
      <x:c r="H41" s="12" t="n"/>
      <x:c r="I41" s="12" t="n"/>
      <x:c r="J41" s="14" t="n"/>
      <x:c r="K41" s="12" t="n"/>
      <x:c r="L41" s="12" t="n"/>
      <x:c r="M41" s="15">
        <x:f>IF($A41="","",SUMIF(AR!$B$2:$B$201,$A41,AR!$H$2:$H$201))</x:f>
      </x:c>
      <x:c r="N41" s="16">
        <x:f>IF(OR($J41="",$J41=0),"",IFERROR($M41/$J41,""))</x:f>
      </x:c>
      <x:c r="O41" s="17">
        <x:f>IF($N41="","",IF($N41&gt;=Params!$B$11,"超额度",IF($N41&gt;=Params!$B$10,"高风险",IF($N41&gt;=Params!$B$9,"预警","正常"))))</x:f>
      </x:c>
    </x:row>
    <x:row r="42">
      <x:c r="A42" s="12" t="n"/>
      <x:c r="B42" s="12" t="n"/>
      <x:c r="C42" s="12" t="n"/>
      <x:c r="D42" s="12" t="n"/>
      <x:c r="E42" s="12" t="n"/>
      <x:c r="F42" s="12" t="n"/>
      <x:c r="G42" s="13" t="n"/>
      <x:c r="H42" s="12" t="n"/>
      <x:c r="I42" s="12" t="n"/>
      <x:c r="J42" s="14" t="n"/>
      <x:c r="K42" s="12" t="n"/>
      <x:c r="L42" s="12" t="n"/>
      <x:c r="M42" s="15">
        <x:f>IF($A42="","",SUMIF(AR!$B$2:$B$201,$A42,AR!$H$2:$H$201))</x:f>
      </x:c>
      <x:c r="N42" s="16">
        <x:f>IF(OR($J42="",$J42=0),"",IFERROR($M42/$J42,""))</x:f>
      </x:c>
      <x:c r="O42" s="17">
        <x:f>IF($N42="","",IF($N42&gt;=Params!$B$11,"超额度",IF($N42&gt;=Params!$B$10,"高风险",IF($N42&gt;=Params!$B$9,"预警","正常"))))</x:f>
      </x:c>
    </x:row>
    <x:row r="43">
      <x:c r="A43" s="12" t="n"/>
      <x:c r="B43" s="12" t="n"/>
      <x:c r="C43" s="12" t="n"/>
      <x:c r="D43" s="12" t="n"/>
      <x:c r="E43" s="12" t="n"/>
      <x:c r="F43" s="12" t="n"/>
      <x:c r="G43" s="13" t="n"/>
      <x:c r="H43" s="12" t="n"/>
      <x:c r="I43" s="12" t="n"/>
      <x:c r="J43" s="14" t="n"/>
      <x:c r="K43" s="12" t="n"/>
      <x:c r="L43" s="12" t="n"/>
      <x:c r="M43" s="15">
        <x:f>IF($A43="","",SUMIF(AR!$B$2:$B$201,$A43,AR!$H$2:$H$201))</x:f>
      </x:c>
      <x:c r="N43" s="16">
        <x:f>IF(OR($J43="",$J43=0),"",IFERROR($M43/$J43,""))</x:f>
      </x:c>
      <x:c r="O43" s="17">
        <x:f>IF($N43="","",IF($N43&gt;=Params!$B$11,"超额度",IF($N43&gt;=Params!$B$10,"高风险",IF($N43&gt;=Params!$B$9,"预警","正常"))))</x:f>
      </x:c>
    </x:row>
    <x:row r="44">
      <x:c r="A44" s="12" t="n"/>
      <x:c r="B44" s="12" t="n"/>
      <x:c r="C44" s="12" t="n"/>
      <x:c r="D44" s="12" t="n"/>
      <x:c r="E44" s="12" t="n"/>
      <x:c r="F44" s="12" t="n"/>
      <x:c r="G44" s="13" t="n"/>
      <x:c r="H44" s="12" t="n"/>
      <x:c r="I44" s="12" t="n"/>
      <x:c r="J44" s="14" t="n"/>
      <x:c r="K44" s="12" t="n"/>
      <x:c r="L44" s="12" t="n"/>
      <x:c r="M44" s="15">
        <x:f>IF($A44="","",SUMIF(AR!$B$2:$B$201,$A44,AR!$H$2:$H$201))</x:f>
      </x:c>
      <x:c r="N44" s="16">
        <x:f>IF(OR($J44="",$J44=0),"",IFERROR($M44/$J44,""))</x:f>
      </x:c>
      <x:c r="O44" s="17">
        <x:f>IF($N44="","",IF($N44&gt;=Params!$B$11,"超额度",IF($N44&gt;=Params!$B$10,"高风险",IF($N44&gt;=Params!$B$9,"预警","正常"))))</x:f>
      </x:c>
    </x:row>
    <x:row r="45">
      <x:c r="A45" s="12" t="n"/>
      <x:c r="B45" s="12" t="n"/>
      <x:c r="C45" s="12" t="n"/>
      <x:c r="D45" s="12" t="n"/>
      <x:c r="E45" s="12" t="n"/>
      <x:c r="F45" s="12" t="n"/>
      <x:c r="G45" s="13" t="n"/>
      <x:c r="H45" s="12" t="n"/>
      <x:c r="I45" s="12" t="n"/>
      <x:c r="J45" s="14" t="n"/>
      <x:c r="K45" s="12" t="n"/>
      <x:c r="L45" s="12" t="n"/>
      <x:c r="M45" s="15">
        <x:f>IF($A45="","",SUMIF(AR!$B$2:$B$201,$A45,AR!$H$2:$H$201))</x:f>
      </x:c>
      <x:c r="N45" s="16">
        <x:f>IF(OR($J45="",$J45=0),"",IFERROR($M45/$J45,""))</x:f>
      </x:c>
      <x:c r="O45" s="17">
        <x:f>IF($N45="","",IF($N45&gt;=Params!$B$11,"超额度",IF($N45&gt;=Params!$B$10,"高风险",IF($N45&gt;=Params!$B$9,"预警","正常"))))</x:f>
      </x:c>
    </x:row>
    <x:row r="46">
      <x:c r="A46" s="12" t="n"/>
      <x:c r="B46" s="12" t="n"/>
      <x:c r="C46" s="12" t="n"/>
      <x:c r="D46" s="12" t="n"/>
      <x:c r="E46" s="12" t="n"/>
      <x:c r="F46" s="12" t="n"/>
      <x:c r="G46" s="13" t="n"/>
      <x:c r="H46" s="12" t="n"/>
      <x:c r="I46" s="12" t="n"/>
      <x:c r="J46" s="14" t="n"/>
      <x:c r="K46" s="12" t="n"/>
      <x:c r="L46" s="12" t="n"/>
      <x:c r="M46" s="15">
        <x:f>IF($A46="","",SUMIF(AR!$B$2:$B$201,$A46,AR!$H$2:$H$201))</x:f>
      </x:c>
      <x:c r="N46" s="16">
        <x:f>IF(OR($J46="",$J46=0),"",IFERROR($M46/$J46,""))</x:f>
      </x:c>
      <x:c r="O46" s="17">
        <x:f>IF($N46="","",IF($N46&gt;=Params!$B$11,"超额度",IF($N46&gt;=Params!$B$10,"高风险",IF($N46&gt;=Params!$B$9,"预警","正常"))))</x:f>
      </x:c>
    </x:row>
    <x:row r="47">
      <x:c r="A47" s="12" t="n"/>
      <x:c r="B47" s="12" t="n"/>
      <x:c r="C47" s="12" t="n"/>
      <x:c r="D47" s="12" t="n"/>
      <x:c r="E47" s="12" t="n"/>
      <x:c r="F47" s="12" t="n"/>
      <x:c r="G47" s="13" t="n"/>
      <x:c r="H47" s="12" t="n"/>
      <x:c r="I47" s="12" t="n"/>
      <x:c r="J47" s="14" t="n"/>
      <x:c r="K47" s="12" t="n"/>
      <x:c r="L47" s="12" t="n"/>
      <x:c r="M47" s="15">
        <x:f>IF($A47="","",SUMIF(AR!$B$2:$B$201,$A47,AR!$H$2:$H$201))</x:f>
      </x:c>
      <x:c r="N47" s="16">
        <x:f>IF(OR($J47="",$J47=0),"",IFERROR($M47/$J47,""))</x:f>
      </x:c>
      <x:c r="O47" s="17">
        <x:f>IF($N47="","",IF($N47&gt;=Params!$B$11,"超额度",IF($N47&gt;=Params!$B$10,"高风险",IF($N47&gt;=Params!$B$9,"预警","正常"))))</x:f>
      </x:c>
    </x:row>
    <x:row r="48">
      <x:c r="A48" s="12" t="n"/>
      <x:c r="B48" s="12" t="n"/>
      <x:c r="C48" s="12" t="n"/>
      <x:c r="D48" s="12" t="n"/>
      <x:c r="E48" s="12" t="n"/>
      <x:c r="F48" s="12" t="n"/>
      <x:c r="G48" s="13" t="n"/>
      <x:c r="H48" s="12" t="n"/>
      <x:c r="I48" s="12" t="n"/>
      <x:c r="J48" s="14" t="n"/>
      <x:c r="K48" s="12" t="n"/>
      <x:c r="L48" s="12" t="n"/>
      <x:c r="M48" s="15">
        <x:f>IF($A48="","",SUMIF(AR!$B$2:$B$201,$A48,AR!$H$2:$H$201))</x:f>
      </x:c>
      <x:c r="N48" s="16">
        <x:f>IF(OR($J48="",$J48=0),"",IFERROR($M48/$J48,""))</x:f>
      </x:c>
      <x:c r="O48" s="17">
        <x:f>IF($N48="","",IF($N48&gt;=Params!$B$11,"超额度",IF($N48&gt;=Params!$B$10,"高风险",IF($N48&gt;=Params!$B$9,"预警","正常"))))</x:f>
      </x:c>
    </x:row>
    <x:row r="49">
      <x:c r="A49" s="12" t="n"/>
      <x:c r="B49" s="12" t="n"/>
      <x:c r="C49" s="12" t="n"/>
      <x:c r="D49" s="12" t="n"/>
      <x:c r="E49" s="12" t="n"/>
      <x:c r="F49" s="12" t="n"/>
      <x:c r="G49" s="13" t="n"/>
      <x:c r="H49" s="12" t="n"/>
      <x:c r="I49" s="12" t="n"/>
      <x:c r="J49" s="14" t="n"/>
      <x:c r="K49" s="12" t="n"/>
      <x:c r="L49" s="12" t="n"/>
      <x:c r="M49" s="15">
        <x:f>IF($A49="","",SUMIF(AR!$B$2:$B$201,$A49,AR!$H$2:$H$201))</x:f>
      </x:c>
      <x:c r="N49" s="16">
        <x:f>IF(OR($J49="",$J49=0),"",IFERROR($M49/$J49,""))</x:f>
      </x:c>
      <x:c r="O49" s="17">
        <x:f>IF($N49="","",IF($N49&gt;=Params!$B$11,"超额度",IF($N49&gt;=Params!$B$10,"高风险",IF($N49&gt;=Params!$B$9,"预警","正常"))))</x:f>
      </x:c>
    </x:row>
    <x:row r="50">
      <x:c r="A50" s="12" t="n"/>
      <x:c r="B50" s="12" t="n"/>
      <x:c r="C50" s="12" t="n"/>
      <x:c r="D50" s="12" t="n"/>
      <x:c r="E50" s="12" t="n"/>
      <x:c r="F50" s="12" t="n"/>
      <x:c r="G50" s="13" t="n"/>
      <x:c r="H50" s="12" t="n"/>
      <x:c r="I50" s="12" t="n"/>
      <x:c r="J50" s="14" t="n"/>
      <x:c r="K50" s="12" t="n"/>
      <x:c r="L50" s="12" t="n"/>
      <x:c r="M50" s="15">
        <x:f>IF($A50="","",SUMIF(AR!$B$2:$B$201,$A50,AR!$H$2:$H$201))</x:f>
      </x:c>
      <x:c r="N50" s="16">
        <x:f>IF(OR($J50="",$J50=0),"",IFERROR($M50/$J50,""))</x:f>
      </x:c>
      <x:c r="O50" s="17">
        <x:f>IF($N50="","",IF($N50&gt;=Params!$B$11,"超额度",IF($N50&gt;=Params!$B$10,"高风险",IF($N50&gt;=Params!$B$9,"预警","正常"))))</x:f>
      </x:c>
    </x:row>
    <x:row r="51">
      <x:c r="A51" s="12" t="n"/>
      <x:c r="B51" s="12" t="n"/>
      <x:c r="C51" s="12" t="n"/>
      <x:c r="D51" s="12" t="n"/>
      <x:c r="E51" s="12" t="n"/>
      <x:c r="F51" s="12" t="n"/>
      <x:c r="G51" s="13" t="n"/>
      <x:c r="H51" s="12" t="n"/>
      <x:c r="I51" s="12" t="n"/>
      <x:c r="J51" s="14" t="n"/>
      <x:c r="K51" s="12" t="n"/>
      <x:c r="L51" s="12" t="n"/>
      <x:c r="M51" s="15">
        <x:f>IF($A51="","",SUMIF(AR!$B$2:$B$201,$A51,AR!$H$2:$H$201))</x:f>
      </x:c>
      <x:c r="N51" s="16">
        <x:f>IF(OR($J51="",$J51=0),"",IFERROR($M51/$J51,""))</x:f>
      </x:c>
      <x:c r="O51" s="17">
        <x:f>IF($N51="","",IF($N51&gt;=Params!$B$11,"超额度",IF($N51&gt;=Params!$B$10,"高风险",IF($N51&gt;=Params!$B$9,"预警","正常"))))</x:f>
      </x:c>
    </x:row>
    <x:row r="52">
      <x:c r="A52" s="12" t="n"/>
      <x:c r="B52" s="12" t="n"/>
      <x:c r="C52" s="12" t="n"/>
      <x:c r="D52" s="12" t="n"/>
      <x:c r="E52" s="12" t="n"/>
      <x:c r="F52" s="12" t="n"/>
      <x:c r="G52" s="13" t="n"/>
      <x:c r="H52" s="12" t="n"/>
      <x:c r="I52" s="12" t="n"/>
      <x:c r="J52" s="14" t="n"/>
      <x:c r="K52" s="12" t="n"/>
      <x:c r="L52" s="12" t="n"/>
      <x:c r="M52" s="15">
        <x:f>IF($A52="","",SUMIF(AR!$B$2:$B$201,$A52,AR!$H$2:$H$201))</x:f>
      </x:c>
      <x:c r="N52" s="16">
        <x:f>IF(OR($J52="",$J52=0),"",IFERROR($M52/$J52,""))</x:f>
      </x:c>
      <x:c r="O52" s="17">
        <x:f>IF($N52="","",IF($N52&gt;=Params!$B$11,"超额度",IF($N52&gt;=Params!$B$10,"高风险",IF($N52&gt;=Params!$B$9,"预警","正常"))))</x:f>
      </x:c>
    </x:row>
    <x:row r="53">
      <x:c r="A53" s="12" t="n"/>
      <x:c r="B53" s="12" t="n"/>
      <x:c r="C53" s="12" t="n"/>
      <x:c r="D53" s="12" t="n"/>
      <x:c r="E53" s="12" t="n"/>
      <x:c r="F53" s="12" t="n"/>
      <x:c r="G53" s="13" t="n"/>
      <x:c r="H53" s="12" t="n"/>
      <x:c r="I53" s="12" t="n"/>
      <x:c r="J53" s="14" t="n"/>
      <x:c r="K53" s="12" t="n"/>
      <x:c r="L53" s="12" t="n"/>
      <x:c r="M53" s="15">
        <x:f>IF($A53="","",SUMIF(AR!$B$2:$B$201,$A53,AR!$H$2:$H$201))</x:f>
      </x:c>
      <x:c r="N53" s="16">
        <x:f>IF(OR($J53="",$J53=0),"",IFERROR($M53/$J53,""))</x:f>
      </x:c>
      <x:c r="O53" s="17">
        <x:f>IF($N53="","",IF($N53&gt;=Params!$B$11,"超额度",IF($N53&gt;=Params!$B$10,"高风险",IF($N53&gt;=Params!$B$9,"预警","正常"))))</x:f>
      </x:c>
    </x:row>
    <x:row r="54">
      <x:c r="A54" s="12" t="n"/>
      <x:c r="B54" s="12" t="n"/>
      <x:c r="C54" s="12" t="n"/>
      <x:c r="D54" s="12" t="n"/>
      <x:c r="E54" s="12" t="n"/>
      <x:c r="F54" s="12" t="n"/>
      <x:c r="G54" s="13" t="n"/>
      <x:c r="H54" s="12" t="n"/>
      <x:c r="I54" s="12" t="n"/>
      <x:c r="J54" s="14" t="n"/>
      <x:c r="K54" s="12" t="n"/>
      <x:c r="L54" s="12" t="n"/>
      <x:c r="M54" s="15">
        <x:f>IF($A54="","",SUMIF(AR!$B$2:$B$201,$A54,AR!$H$2:$H$201))</x:f>
      </x:c>
      <x:c r="N54" s="16">
        <x:f>IF(OR($J54="",$J54=0),"",IFERROR($M54/$J54,""))</x:f>
      </x:c>
      <x:c r="O54" s="17">
        <x:f>IF($N54="","",IF($N54&gt;=Params!$B$11,"超额度",IF($N54&gt;=Params!$B$10,"高风险",IF($N54&gt;=Params!$B$9,"预警","正常"))))</x:f>
      </x:c>
    </x:row>
    <x:row r="55">
      <x:c r="A55" s="12" t="n"/>
      <x:c r="B55" s="12" t="n"/>
      <x:c r="C55" s="12" t="n"/>
      <x:c r="D55" s="12" t="n"/>
      <x:c r="E55" s="12" t="n"/>
      <x:c r="F55" s="12" t="n"/>
      <x:c r="G55" s="13" t="n"/>
      <x:c r="H55" s="12" t="n"/>
      <x:c r="I55" s="12" t="n"/>
      <x:c r="J55" s="14" t="n"/>
      <x:c r="K55" s="12" t="n"/>
      <x:c r="L55" s="12" t="n"/>
      <x:c r="M55" s="15">
        <x:f>IF($A55="","",SUMIF(AR!$B$2:$B$201,$A55,AR!$H$2:$H$201))</x:f>
      </x:c>
      <x:c r="N55" s="16">
        <x:f>IF(OR($J55="",$J55=0),"",IFERROR($M55/$J55,""))</x:f>
      </x:c>
      <x:c r="O55" s="17">
        <x:f>IF($N55="","",IF($N55&gt;=Params!$B$11,"超额度",IF($N55&gt;=Params!$B$10,"高风险",IF($N55&gt;=Params!$B$9,"预警","正常"))))</x:f>
      </x:c>
    </x:row>
    <x:row r="56">
      <x:c r="A56" s="12" t="n"/>
      <x:c r="B56" s="12" t="n"/>
      <x:c r="C56" s="12" t="n"/>
      <x:c r="D56" s="12" t="n"/>
      <x:c r="E56" s="12" t="n"/>
      <x:c r="F56" s="12" t="n"/>
      <x:c r="G56" s="13" t="n"/>
      <x:c r="H56" s="12" t="n"/>
      <x:c r="I56" s="12" t="n"/>
      <x:c r="J56" s="14" t="n"/>
      <x:c r="K56" s="12" t="n"/>
      <x:c r="L56" s="12" t="n"/>
      <x:c r="M56" s="15">
        <x:f>IF($A56="","",SUMIF(AR!$B$2:$B$201,$A56,AR!$H$2:$H$201))</x:f>
      </x:c>
      <x:c r="N56" s="16">
        <x:f>IF(OR($J56="",$J56=0),"",IFERROR($M56/$J56,""))</x:f>
      </x:c>
      <x:c r="O56" s="17">
        <x:f>IF($N56="","",IF($N56&gt;=Params!$B$11,"超额度",IF($N56&gt;=Params!$B$10,"高风险",IF($N56&gt;=Params!$B$9,"预警","正常"))))</x:f>
      </x:c>
    </x:row>
    <x:row r="57">
      <x:c r="A57" s="12" t="n"/>
      <x:c r="B57" s="12" t="n"/>
      <x:c r="C57" s="12" t="n"/>
      <x:c r="D57" s="12" t="n"/>
      <x:c r="E57" s="12" t="n"/>
      <x:c r="F57" s="12" t="n"/>
      <x:c r="G57" s="13" t="n"/>
      <x:c r="H57" s="12" t="n"/>
      <x:c r="I57" s="12" t="n"/>
      <x:c r="J57" s="14" t="n"/>
      <x:c r="K57" s="12" t="n"/>
      <x:c r="L57" s="12" t="n"/>
      <x:c r="M57" s="15">
        <x:f>IF($A57="","",SUMIF(AR!$B$2:$B$201,$A57,AR!$H$2:$H$201))</x:f>
      </x:c>
      <x:c r="N57" s="16">
        <x:f>IF(OR($J57="",$J57=0),"",IFERROR($M57/$J57,""))</x:f>
      </x:c>
      <x:c r="O57" s="17">
        <x:f>IF($N57="","",IF($N57&gt;=Params!$B$11,"超额度",IF($N57&gt;=Params!$B$10,"高风险",IF($N57&gt;=Params!$B$9,"预警","正常"))))</x:f>
      </x:c>
    </x:row>
    <x:row r="58">
      <x:c r="A58" s="12" t="n"/>
      <x:c r="B58" s="12" t="n"/>
      <x:c r="C58" s="12" t="n"/>
      <x:c r="D58" s="12" t="n"/>
      <x:c r="E58" s="12" t="n"/>
      <x:c r="F58" s="12" t="n"/>
      <x:c r="G58" s="13" t="n"/>
      <x:c r="H58" s="12" t="n"/>
      <x:c r="I58" s="12" t="n"/>
      <x:c r="J58" s="14" t="n"/>
      <x:c r="K58" s="12" t="n"/>
      <x:c r="L58" s="12" t="n"/>
      <x:c r="M58" s="15">
        <x:f>IF($A58="","",SUMIF(AR!$B$2:$B$201,$A58,AR!$H$2:$H$201))</x:f>
      </x:c>
      <x:c r="N58" s="16">
        <x:f>IF(OR($J58="",$J58=0),"",IFERROR($M58/$J58,""))</x:f>
      </x:c>
      <x:c r="O58" s="17">
        <x:f>IF($N58="","",IF($N58&gt;=Params!$B$11,"超额度",IF($N58&gt;=Params!$B$10,"高风险",IF($N58&gt;=Params!$B$9,"预警","正常"))))</x:f>
      </x:c>
    </x:row>
    <x:row r="59">
      <x:c r="A59" s="12" t="n"/>
      <x:c r="B59" s="12" t="n"/>
      <x:c r="C59" s="12" t="n"/>
      <x:c r="D59" s="12" t="n"/>
      <x:c r="E59" s="12" t="n"/>
      <x:c r="F59" s="12" t="n"/>
      <x:c r="G59" s="13" t="n"/>
      <x:c r="H59" s="12" t="n"/>
      <x:c r="I59" s="12" t="n"/>
      <x:c r="J59" s="14" t="n"/>
      <x:c r="K59" s="12" t="n"/>
      <x:c r="L59" s="12" t="n"/>
      <x:c r="M59" s="15">
        <x:f>IF($A59="","",SUMIF(AR!$B$2:$B$201,$A59,AR!$H$2:$H$201))</x:f>
      </x:c>
      <x:c r="N59" s="16">
        <x:f>IF(OR($J59="",$J59=0),"",IFERROR($M59/$J59,""))</x:f>
      </x:c>
      <x:c r="O59" s="17">
        <x:f>IF($N59="","",IF($N59&gt;=Params!$B$11,"超额度",IF($N59&gt;=Params!$B$10,"高风险",IF($N59&gt;=Params!$B$9,"预警","正常"))))</x:f>
      </x:c>
    </x:row>
    <x:row r="60">
      <x:c r="A60" s="12" t="n"/>
      <x:c r="B60" s="12" t="n"/>
      <x:c r="C60" s="12" t="n"/>
      <x:c r="D60" s="12" t="n"/>
      <x:c r="E60" s="12" t="n"/>
      <x:c r="F60" s="12" t="n"/>
      <x:c r="G60" s="13" t="n"/>
      <x:c r="H60" s="12" t="n"/>
      <x:c r="I60" s="12" t="n"/>
      <x:c r="J60" s="14" t="n"/>
      <x:c r="K60" s="12" t="n"/>
      <x:c r="L60" s="12" t="n"/>
      <x:c r="M60" s="15">
        <x:f>IF($A60="","",SUMIF(AR!$B$2:$B$201,$A60,AR!$H$2:$H$201))</x:f>
      </x:c>
      <x:c r="N60" s="16">
        <x:f>IF(OR($J60="",$J60=0),"",IFERROR($M60/$J60,""))</x:f>
      </x:c>
      <x:c r="O60" s="17">
        <x:f>IF($N60="","",IF($N60&gt;=Params!$B$11,"超额度",IF($N60&gt;=Params!$B$10,"高风险",IF($N60&gt;=Params!$B$9,"预警","正常"))))</x:f>
      </x:c>
    </x:row>
    <x:row r="61">
      <x:c r="A61" s="12" t="n"/>
      <x:c r="B61" s="12" t="n"/>
      <x:c r="C61" s="12" t="n"/>
      <x:c r="D61" s="12" t="n"/>
      <x:c r="E61" s="12" t="n"/>
      <x:c r="F61" s="12" t="n"/>
      <x:c r="G61" s="13" t="n"/>
      <x:c r="H61" s="12" t="n"/>
      <x:c r="I61" s="12" t="n"/>
      <x:c r="J61" s="14" t="n"/>
      <x:c r="K61" s="12" t="n"/>
      <x:c r="L61" s="12" t="n"/>
      <x:c r="M61" s="15">
        <x:f>IF($A61="","",SUMIF(AR!$B$2:$B$201,$A61,AR!$H$2:$H$201))</x:f>
      </x:c>
      <x:c r="N61" s="16">
        <x:f>IF(OR($J61="",$J61=0),"",IFERROR($M61/$J61,""))</x:f>
      </x:c>
      <x:c r="O61" s="17">
        <x:f>IF($N61="","",IF($N61&gt;=Params!$B$11,"超额度",IF($N61&gt;=Params!$B$10,"高风险",IF($N61&gt;=Params!$B$9,"预警","正常"))))</x:f>
      </x:c>
    </x:row>
    <x:row r="62">
      <x:c r="A62" s="12" t="n"/>
      <x:c r="B62" s="12" t="n"/>
      <x:c r="C62" s="12" t="n"/>
      <x:c r="D62" s="12" t="n"/>
      <x:c r="E62" s="12" t="n"/>
      <x:c r="F62" s="12" t="n"/>
      <x:c r="G62" s="13" t="n"/>
      <x:c r="H62" s="12" t="n"/>
      <x:c r="I62" s="12" t="n"/>
      <x:c r="J62" s="14" t="n"/>
      <x:c r="K62" s="12" t="n"/>
      <x:c r="L62" s="12" t="n"/>
      <x:c r="M62" s="15">
        <x:f>IF($A62="","",SUMIF(AR!$B$2:$B$201,$A62,AR!$H$2:$H$201))</x:f>
      </x:c>
      <x:c r="N62" s="16">
        <x:f>IF(OR($J62="",$J62=0),"",IFERROR($M62/$J62,""))</x:f>
      </x:c>
      <x:c r="O62" s="17">
        <x:f>IF($N62="","",IF($N62&gt;=Params!$B$11,"超额度",IF($N62&gt;=Params!$B$10,"高风险",IF($N62&gt;=Params!$B$9,"预警","正常"))))</x:f>
      </x:c>
    </x:row>
    <x:row r="63">
      <x:c r="A63" s="12" t="n"/>
      <x:c r="B63" s="12" t="n"/>
      <x:c r="C63" s="12" t="n"/>
      <x:c r="D63" s="12" t="n"/>
      <x:c r="E63" s="12" t="n"/>
      <x:c r="F63" s="12" t="n"/>
      <x:c r="G63" s="13" t="n"/>
      <x:c r="H63" s="12" t="n"/>
      <x:c r="I63" s="12" t="n"/>
      <x:c r="J63" s="14" t="n"/>
      <x:c r="K63" s="12" t="n"/>
      <x:c r="L63" s="12" t="n"/>
      <x:c r="M63" s="15">
        <x:f>IF($A63="","",SUMIF(AR!$B$2:$B$201,$A63,AR!$H$2:$H$201))</x:f>
      </x:c>
      <x:c r="N63" s="16">
        <x:f>IF(OR($J63="",$J63=0),"",IFERROR($M63/$J63,""))</x:f>
      </x:c>
      <x:c r="O63" s="17">
        <x:f>IF($N63="","",IF($N63&gt;=Params!$B$11,"超额度",IF($N63&gt;=Params!$B$10,"高风险",IF($N63&gt;=Params!$B$9,"预警","正常"))))</x:f>
      </x:c>
    </x:row>
    <x:row r="64">
      <x:c r="A64" s="12" t="n"/>
      <x:c r="B64" s="12" t="n"/>
      <x:c r="C64" s="12" t="n"/>
      <x:c r="D64" s="12" t="n"/>
      <x:c r="E64" s="12" t="n"/>
      <x:c r="F64" s="12" t="n"/>
      <x:c r="G64" s="13" t="n"/>
      <x:c r="H64" s="12" t="n"/>
      <x:c r="I64" s="12" t="n"/>
      <x:c r="J64" s="14" t="n"/>
      <x:c r="K64" s="12" t="n"/>
      <x:c r="L64" s="12" t="n"/>
      <x:c r="M64" s="15">
        <x:f>IF($A64="","",SUMIF(AR!$B$2:$B$201,$A64,AR!$H$2:$H$201))</x:f>
      </x:c>
      <x:c r="N64" s="16">
        <x:f>IF(OR($J64="",$J64=0),"",IFERROR($M64/$J64,""))</x:f>
      </x:c>
      <x:c r="O64" s="17">
        <x:f>IF($N64="","",IF($N64&gt;=Params!$B$11,"超额度",IF($N64&gt;=Params!$B$10,"高风险",IF($N64&gt;=Params!$B$9,"预警","正常"))))</x:f>
      </x:c>
    </x:row>
    <x:row r="65">
      <x:c r="A65" s="12" t="n"/>
      <x:c r="B65" s="12" t="n"/>
      <x:c r="C65" s="12" t="n"/>
      <x:c r="D65" s="12" t="n"/>
      <x:c r="E65" s="12" t="n"/>
      <x:c r="F65" s="12" t="n"/>
      <x:c r="G65" s="13" t="n"/>
      <x:c r="H65" s="12" t="n"/>
      <x:c r="I65" s="12" t="n"/>
      <x:c r="J65" s="14" t="n"/>
      <x:c r="K65" s="12" t="n"/>
      <x:c r="L65" s="12" t="n"/>
      <x:c r="M65" s="15">
        <x:f>IF($A65="","",SUMIF(AR!$B$2:$B$201,$A65,AR!$H$2:$H$201))</x:f>
      </x:c>
      <x:c r="N65" s="16">
        <x:f>IF(OR($J65="",$J65=0),"",IFERROR($M65/$J65,""))</x:f>
      </x:c>
      <x:c r="O65" s="17">
        <x:f>IF($N65="","",IF($N65&gt;=Params!$B$11,"超额度",IF($N65&gt;=Params!$B$10,"高风险",IF($N65&gt;=Params!$B$9,"预警","正常"))))</x:f>
      </x:c>
    </x:row>
    <x:row r="66">
      <x:c r="A66" s="12" t="n"/>
      <x:c r="B66" s="12" t="n"/>
      <x:c r="C66" s="12" t="n"/>
      <x:c r="D66" s="12" t="n"/>
      <x:c r="E66" s="12" t="n"/>
      <x:c r="F66" s="12" t="n"/>
      <x:c r="G66" s="13" t="n"/>
      <x:c r="H66" s="12" t="n"/>
      <x:c r="I66" s="12" t="n"/>
      <x:c r="J66" s="14" t="n"/>
      <x:c r="K66" s="12" t="n"/>
      <x:c r="L66" s="12" t="n"/>
      <x:c r="M66" s="15">
        <x:f>IF($A66="","",SUMIF(AR!$B$2:$B$201,$A66,AR!$H$2:$H$201))</x:f>
      </x:c>
      <x:c r="N66" s="16">
        <x:f>IF(OR($J66="",$J66=0),"",IFERROR($M66/$J66,""))</x:f>
      </x:c>
      <x:c r="O66" s="17">
        <x:f>IF($N66="","",IF($N66&gt;=Params!$B$11,"超额度",IF($N66&gt;=Params!$B$10,"高风险",IF($N66&gt;=Params!$B$9,"预警","正常"))))</x:f>
      </x:c>
    </x:row>
    <x:row r="67">
      <x:c r="A67" s="12" t="n"/>
      <x:c r="B67" s="12" t="n"/>
      <x:c r="C67" s="12" t="n"/>
      <x:c r="D67" s="12" t="n"/>
      <x:c r="E67" s="12" t="n"/>
      <x:c r="F67" s="12" t="n"/>
      <x:c r="G67" s="13" t="n"/>
      <x:c r="H67" s="12" t="n"/>
      <x:c r="I67" s="12" t="n"/>
      <x:c r="J67" s="14" t="n"/>
      <x:c r="K67" s="12" t="n"/>
      <x:c r="L67" s="12" t="n"/>
      <x:c r="M67" s="15">
        <x:f>IF($A67="","",SUMIF(AR!$B$2:$B$201,$A67,AR!$H$2:$H$201))</x:f>
      </x:c>
      <x:c r="N67" s="16">
        <x:f>IF(OR($J67="",$J67=0),"",IFERROR($M67/$J67,""))</x:f>
      </x:c>
      <x:c r="O67" s="17">
        <x:f>IF($N67="","",IF($N67&gt;=Params!$B$11,"超额度",IF($N67&gt;=Params!$B$10,"高风险",IF($N67&gt;=Params!$B$9,"预警","正常"))))</x:f>
      </x:c>
    </x:row>
    <x:row r="68">
      <x:c r="A68" s="12" t="n"/>
      <x:c r="B68" s="12" t="n"/>
      <x:c r="C68" s="12" t="n"/>
      <x:c r="D68" s="12" t="n"/>
      <x:c r="E68" s="12" t="n"/>
      <x:c r="F68" s="12" t="n"/>
      <x:c r="G68" s="13" t="n"/>
      <x:c r="H68" s="12" t="n"/>
      <x:c r="I68" s="12" t="n"/>
      <x:c r="J68" s="14" t="n"/>
      <x:c r="K68" s="12" t="n"/>
      <x:c r="L68" s="12" t="n"/>
      <x:c r="M68" s="15">
        <x:f>IF($A68="","",SUMIF(AR!$B$2:$B$201,$A68,AR!$H$2:$H$201))</x:f>
      </x:c>
      <x:c r="N68" s="16">
        <x:f>IF(OR($J68="",$J68=0),"",IFERROR($M68/$J68,""))</x:f>
      </x:c>
      <x:c r="O68" s="17">
        <x:f>IF($N68="","",IF($N68&gt;=Params!$B$11,"超额度",IF($N68&gt;=Params!$B$10,"高风险",IF($N68&gt;=Params!$B$9,"预警","正常"))))</x:f>
      </x:c>
    </x:row>
    <x:row r="69">
      <x:c r="A69" s="12" t="n"/>
      <x:c r="B69" s="12" t="n"/>
      <x:c r="C69" s="12" t="n"/>
      <x:c r="D69" s="12" t="n"/>
      <x:c r="E69" s="12" t="n"/>
      <x:c r="F69" s="12" t="n"/>
      <x:c r="G69" s="13" t="n"/>
      <x:c r="H69" s="12" t="n"/>
      <x:c r="I69" s="12" t="n"/>
      <x:c r="J69" s="14" t="n"/>
      <x:c r="K69" s="12" t="n"/>
      <x:c r="L69" s="12" t="n"/>
      <x:c r="M69" s="15">
        <x:f>IF($A69="","",SUMIF(AR!$B$2:$B$201,$A69,AR!$H$2:$H$201))</x:f>
      </x:c>
      <x:c r="N69" s="16">
        <x:f>IF(OR($J69="",$J69=0),"",IFERROR($M69/$J69,""))</x:f>
      </x:c>
      <x:c r="O69" s="17">
        <x:f>IF($N69="","",IF($N69&gt;=Params!$B$11,"超额度",IF($N69&gt;=Params!$B$10,"高风险",IF($N69&gt;=Params!$B$9,"预警","正常"))))</x:f>
      </x:c>
    </x:row>
    <x:row r="70">
      <x:c r="A70" s="12" t="n"/>
      <x:c r="B70" s="12" t="n"/>
      <x:c r="C70" s="12" t="n"/>
      <x:c r="D70" s="12" t="n"/>
      <x:c r="E70" s="12" t="n"/>
      <x:c r="F70" s="12" t="n"/>
      <x:c r="G70" s="13" t="n"/>
      <x:c r="H70" s="12" t="n"/>
      <x:c r="I70" s="12" t="n"/>
      <x:c r="J70" s="14" t="n"/>
      <x:c r="K70" s="12" t="n"/>
      <x:c r="L70" s="12" t="n"/>
      <x:c r="M70" s="15">
        <x:f>IF($A70="","",SUMIF(AR!$B$2:$B$201,$A70,AR!$H$2:$H$201))</x:f>
      </x:c>
      <x:c r="N70" s="16">
        <x:f>IF(OR($J70="",$J70=0),"",IFERROR($M70/$J70,""))</x:f>
      </x:c>
      <x:c r="O70" s="17">
        <x:f>IF($N70="","",IF($N70&gt;=Params!$B$11,"超额度",IF($N70&gt;=Params!$B$10,"高风险",IF($N70&gt;=Params!$B$9,"预警","正常"))))</x:f>
      </x:c>
    </x:row>
    <x:row r="71">
      <x:c r="A71" s="12" t="n"/>
      <x:c r="B71" s="12" t="n"/>
      <x:c r="C71" s="12" t="n"/>
      <x:c r="D71" s="12" t="n"/>
      <x:c r="E71" s="12" t="n"/>
      <x:c r="F71" s="12" t="n"/>
      <x:c r="G71" s="13" t="n"/>
      <x:c r="H71" s="12" t="n"/>
      <x:c r="I71" s="12" t="n"/>
      <x:c r="J71" s="14" t="n"/>
      <x:c r="K71" s="12" t="n"/>
      <x:c r="L71" s="12" t="n"/>
      <x:c r="M71" s="15">
        <x:f>IF($A71="","",SUMIF(AR!$B$2:$B$201,$A71,AR!$H$2:$H$201))</x:f>
      </x:c>
      <x:c r="N71" s="16">
        <x:f>IF(OR($J71="",$J71=0),"",IFERROR($M71/$J71,""))</x:f>
      </x:c>
      <x:c r="O71" s="17">
        <x:f>IF($N71="","",IF($N71&gt;=Params!$B$11,"超额度",IF($N71&gt;=Params!$B$10,"高风险",IF($N71&gt;=Params!$B$9,"预警","正常"))))</x:f>
      </x:c>
    </x:row>
    <x:row r="72">
      <x:c r="A72" s="12" t="n"/>
      <x:c r="B72" s="12" t="n"/>
      <x:c r="C72" s="12" t="n"/>
      <x:c r="D72" s="12" t="n"/>
      <x:c r="E72" s="12" t="n"/>
      <x:c r="F72" s="12" t="n"/>
      <x:c r="G72" s="13" t="n"/>
      <x:c r="H72" s="12" t="n"/>
      <x:c r="I72" s="12" t="n"/>
      <x:c r="J72" s="14" t="n"/>
      <x:c r="K72" s="12" t="n"/>
      <x:c r="L72" s="12" t="n"/>
      <x:c r="M72" s="15">
        <x:f>IF($A72="","",SUMIF(AR!$B$2:$B$201,$A72,AR!$H$2:$H$201))</x:f>
      </x:c>
      <x:c r="N72" s="16">
        <x:f>IF(OR($J72="",$J72=0),"",IFERROR($M72/$J72,""))</x:f>
      </x:c>
      <x:c r="O72" s="17">
        <x:f>IF($N72="","",IF($N72&gt;=Params!$B$11,"超额度",IF($N72&gt;=Params!$B$10,"高风险",IF($N72&gt;=Params!$B$9,"预警","正常"))))</x:f>
      </x:c>
    </x:row>
    <x:row r="73">
      <x:c r="A73" s="12" t="n"/>
      <x:c r="B73" s="12" t="n"/>
      <x:c r="C73" s="12" t="n"/>
      <x:c r="D73" s="12" t="n"/>
      <x:c r="E73" s="12" t="n"/>
      <x:c r="F73" s="12" t="n"/>
      <x:c r="G73" s="13" t="n"/>
      <x:c r="H73" s="12" t="n"/>
      <x:c r="I73" s="12" t="n"/>
      <x:c r="J73" s="14" t="n"/>
      <x:c r="K73" s="12" t="n"/>
      <x:c r="L73" s="12" t="n"/>
      <x:c r="M73" s="15">
        <x:f>IF($A73="","",SUMIF(AR!$B$2:$B$201,$A73,AR!$H$2:$H$201))</x:f>
      </x:c>
      <x:c r="N73" s="16">
        <x:f>IF(OR($J73="",$J73=0),"",IFERROR($M73/$J73,""))</x:f>
      </x:c>
      <x:c r="O73" s="17">
        <x:f>IF($N73="","",IF($N73&gt;=Params!$B$11,"超额度",IF($N73&gt;=Params!$B$10,"高风险",IF($N73&gt;=Params!$B$9,"预警","正常"))))</x:f>
      </x:c>
    </x:row>
    <x:row r="74">
      <x:c r="A74" s="12" t="n"/>
      <x:c r="B74" s="12" t="n"/>
      <x:c r="C74" s="12" t="n"/>
      <x:c r="D74" s="12" t="n"/>
      <x:c r="E74" s="12" t="n"/>
      <x:c r="F74" s="12" t="n"/>
      <x:c r="G74" s="13" t="n"/>
      <x:c r="H74" s="12" t="n"/>
      <x:c r="I74" s="12" t="n"/>
      <x:c r="J74" s="14" t="n"/>
      <x:c r="K74" s="12" t="n"/>
      <x:c r="L74" s="12" t="n"/>
      <x:c r="M74" s="15">
        <x:f>IF($A74="","",SUMIF(AR!$B$2:$B$201,$A74,AR!$H$2:$H$201))</x:f>
      </x:c>
      <x:c r="N74" s="16">
        <x:f>IF(OR($J74="",$J74=0),"",IFERROR($M74/$J74,""))</x:f>
      </x:c>
      <x:c r="O74" s="17">
        <x:f>IF($N74="","",IF($N74&gt;=Params!$B$11,"超额度",IF($N74&gt;=Params!$B$10,"高风险",IF($N74&gt;=Params!$B$9,"预警","正常"))))</x:f>
      </x:c>
    </x:row>
    <x:row r="75">
      <x:c r="A75" s="12" t="n"/>
      <x:c r="B75" s="12" t="n"/>
      <x:c r="C75" s="12" t="n"/>
      <x:c r="D75" s="12" t="n"/>
      <x:c r="E75" s="12" t="n"/>
      <x:c r="F75" s="12" t="n"/>
      <x:c r="G75" s="13" t="n"/>
      <x:c r="H75" s="12" t="n"/>
      <x:c r="I75" s="12" t="n"/>
      <x:c r="J75" s="14" t="n"/>
      <x:c r="K75" s="12" t="n"/>
      <x:c r="L75" s="12" t="n"/>
      <x:c r="M75" s="15">
        <x:f>IF($A75="","",SUMIF(AR!$B$2:$B$201,$A75,AR!$H$2:$H$201))</x:f>
      </x:c>
      <x:c r="N75" s="16">
        <x:f>IF(OR($J75="",$J75=0),"",IFERROR($M75/$J75,""))</x:f>
      </x:c>
      <x:c r="O75" s="17">
        <x:f>IF($N75="","",IF($N75&gt;=Params!$B$11,"超额度",IF($N75&gt;=Params!$B$10,"高风险",IF($N75&gt;=Params!$B$9,"预警","正常"))))</x:f>
      </x:c>
    </x:row>
    <x:row r="76">
      <x:c r="A76" s="12" t="n"/>
      <x:c r="B76" s="12" t="n"/>
      <x:c r="C76" s="12" t="n"/>
      <x:c r="D76" s="12" t="n"/>
      <x:c r="E76" s="12" t="n"/>
      <x:c r="F76" s="12" t="n"/>
      <x:c r="G76" s="13" t="n"/>
      <x:c r="H76" s="12" t="n"/>
      <x:c r="I76" s="12" t="n"/>
      <x:c r="J76" s="14" t="n"/>
      <x:c r="K76" s="12" t="n"/>
      <x:c r="L76" s="12" t="n"/>
      <x:c r="M76" s="15">
        <x:f>IF($A76="","",SUMIF(AR!$B$2:$B$201,$A76,AR!$H$2:$H$201))</x:f>
      </x:c>
      <x:c r="N76" s="16">
        <x:f>IF(OR($J76="",$J76=0),"",IFERROR($M76/$J76,""))</x:f>
      </x:c>
      <x:c r="O76" s="17">
        <x:f>IF($N76="","",IF($N76&gt;=Params!$B$11,"超额度",IF($N76&gt;=Params!$B$10,"高风险",IF($N76&gt;=Params!$B$9,"预警","正常"))))</x:f>
      </x:c>
    </x:row>
    <x:row r="77">
      <x:c r="A77" s="12" t="n"/>
      <x:c r="B77" s="12" t="n"/>
      <x:c r="C77" s="12" t="n"/>
      <x:c r="D77" s="12" t="n"/>
      <x:c r="E77" s="12" t="n"/>
      <x:c r="F77" s="12" t="n"/>
      <x:c r="G77" s="13" t="n"/>
      <x:c r="H77" s="12" t="n"/>
      <x:c r="I77" s="12" t="n"/>
      <x:c r="J77" s="14" t="n"/>
      <x:c r="K77" s="12" t="n"/>
      <x:c r="L77" s="12" t="n"/>
      <x:c r="M77" s="15">
        <x:f>IF($A77="","",SUMIF(AR!$B$2:$B$201,$A77,AR!$H$2:$H$201))</x:f>
      </x:c>
      <x:c r="N77" s="16">
        <x:f>IF(OR($J77="",$J77=0),"",IFERROR($M77/$J77,""))</x:f>
      </x:c>
      <x:c r="O77" s="17">
        <x:f>IF($N77="","",IF($N77&gt;=Params!$B$11,"超额度",IF($N77&gt;=Params!$B$10,"高风险",IF($N77&gt;=Params!$B$9,"预警","正常"))))</x:f>
      </x:c>
    </x:row>
    <x:row r="78">
      <x:c r="A78" s="12" t="n"/>
      <x:c r="B78" s="12" t="n"/>
      <x:c r="C78" s="12" t="n"/>
      <x:c r="D78" s="12" t="n"/>
      <x:c r="E78" s="12" t="n"/>
      <x:c r="F78" s="12" t="n"/>
      <x:c r="G78" s="13" t="n"/>
      <x:c r="H78" s="12" t="n"/>
      <x:c r="I78" s="12" t="n"/>
      <x:c r="J78" s="14" t="n"/>
      <x:c r="K78" s="12" t="n"/>
      <x:c r="L78" s="12" t="n"/>
      <x:c r="M78" s="15">
        <x:f>IF($A78="","",SUMIF(AR!$B$2:$B$201,$A78,AR!$H$2:$H$201))</x:f>
      </x:c>
      <x:c r="N78" s="16">
        <x:f>IF(OR($J78="",$J78=0),"",IFERROR($M78/$J78,""))</x:f>
      </x:c>
      <x:c r="O78" s="17">
        <x:f>IF($N78="","",IF($N78&gt;=Params!$B$11,"超额度",IF($N78&gt;=Params!$B$10,"高风险",IF($N78&gt;=Params!$B$9,"预警","正常"))))</x:f>
      </x:c>
    </x:row>
    <x:row r="79">
      <x:c r="A79" s="12" t="n"/>
      <x:c r="B79" s="12" t="n"/>
      <x:c r="C79" s="12" t="n"/>
      <x:c r="D79" s="12" t="n"/>
      <x:c r="E79" s="12" t="n"/>
      <x:c r="F79" s="12" t="n"/>
      <x:c r="G79" s="13" t="n"/>
      <x:c r="H79" s="12" t="n"/>
      <x:c r="I79" s="12" t="n"/>
      <x:c r="J79" s="14" t="n"/>
      <x:c r="K79" s="12" t="n"/>
      <x:c r="L79" s="12" t="n"/>
      <x:c r="M79" s="15">
        <x:f>IF($A79="","",SUMIF(AR!$B$2:$B$201,$A79,AR!$H$2:$H$201))</x:f>
      </x:c>
      <x:c r="N79" s="16">
        <x:f>IF(OR($J79="",$J79=0),"",IFERROR($M79/$J79,""))</x:f>
      </x:c>
      <x:c r="O79" s="17">
        <x:f>IF($N79="","",IF($N79&gt;=Params!$B$11,"超额度",IF($N79&gt;=Params!$B$10,"高风险",IF($N79&gt;=Params!$B$9,"预警","正常"))))</x:f>
      </x:c>
    </x:row>
    <x:row r="80">
      <x:c r="A80" s="12" t="n"/>
      <x:c r="B80" s="12" t="n"/>
      <x:c r="C80" s="12" t="n"/>
      <x:c r="D80" s="12" t="n"/>
      <x:c r="E80" s="12" t="n"/>
      <x:c r="F80" s="12" t="n"/>
      <x:c r="G80" s="13" t="n"/>
      <x:c r="H80" s="12" t="n"/>
      <x:c r="I80" s="12" t="n"/>
      <x:c r="J80" s="14" t="n"/>
      <x:c r="K80" s="12" t="n"/>
      <x:c r="L80" s="12" t="n"/>
      <x:c r="M80" s="15">
        <x:f>IF($A80="","",SUMIF(AR!$B$2:$B$201,$A80,AR!$H$2:$H$201))</x:f>
      </x:c>
      <x:c r="N80" s="16">
        <x:f>IF(OR($J80="",$J80=0),"",IFERROR($M80/$J80,""))</x:f>
      </x:c>
      <x:c r="O80" s="17">
        <x:f>IF($N80="","",IF($N80&gt;=Params!$B$11,"超额度",IF($N80&gt;=Params!$B$10,"高风险",IF($N80&gt;=Params!$B$9,"预警","正常"))))</x:f>
      </x:c>
    </x:row>
    <x:row r="81">
      <x:c r="A81" s="12" t="n"/>
      <x:c r="B81" s="12" t="n"/>
      <x:c r="C81" s="12" t="n"/>
      <x:c r="D81" s="12" t="n"/>
      <x:c r="E81" s="12" t="n"/>
      <x:c r="F81" s="12" t="n"/>
      <x:c r="G81" s="13" t="n"/>
      <x:c r="H81" s="12" t="n"/>
      <x:c r="I81" s="12" t="n"/>
      <x:c r="J81" s="14" t="n"/>
      <x:c r="K81" s="12" t="n"/>
      <x:c r="L81" s="12" t="n"/>
      <x:c r="M81" s="15">
        <x:f>IF($A81="","",SUMIF(AR!$B$2:$B$201,$A81,AR!$H$2:$H$201))</x:f>
      </x:c>
      <x:c r="N81" s="16">
        <x:f>IF(OR($J81="",$J81=0),"",IFERROR($M81/$J81,""))</x:f>
      </x:c>
      <x:c r="O81" s="17">
        <x:f>IF($N81="","",IF($N81&gt;=Params!$B$11,"超额度",IF($N81&gt;=Params!$B$10,"高风险",IF($N81&gt;=Params!$B$9,"预警","正常"))))</x:f>
      </x:c>
    </x:row>
    <x:row r="82">
      <x:c r="A82" s="12" t="n"/>
      <x:c r="B82" s="12" t="n"/>
      <x:c r="C82" s="12" t="n"/>
      <x:c r="D82" s="12" t="n"/>
      <x:c r="E82" s="12" t="n"/>
      <x:c r="F82" s="12" t="n"/>
      <x:c r="G82" s="13" t="n"/>
      <x:c r="H82" s="12" t="n"/>
      <x:c r="I82" s="12" t="n"/>
      <x:c r="J82" s="14" t="n"/>
      <x:c r="K82" s="12" t="n"/>
      <x:c r="L82" s="12" t="n"/>
      <x:c r="M82" s="15">
        <x:f>IF($A82="","",SUMIF(AR!$B$2:$B$201,$A82,AR!$H$2:$H$201))</x:f>
      </x:c>
      <x:c r="N82" s="16">
        <x:f>IF(OR($J82="",$J82=0),"",IFERROR($M82/$J82,""))</x:f>
      </x:c>
      <x:c r="O82" s="17">
        <x:f>IF($N82="","",IF($N82&gt;=Params!$B$11,"超额度",IF($N82&gt;=Params!$B$10,"高风险",IF($N82&gt;=Params!$B$9,"预警","正常"))))</x:f>
      </x:c>
    </x:row>
    <x:row r="83">
      <x:c r="A83" s="12" t="n"/>
      <x:c r="B83" s="12" t="n"/>
      <x:c r="C83" s="12" t="n"/>
      <x:c r="D83" s="12" t="n"/>
      <x:c r="E83" s="12" t="n"/>
      <x:c r="F83" s="12" t="n"/>
      <x:c r="G83" s="13" t="n"/>
      <x:c r="H83" s="12" t="n"/>
      <x:c r="I83" s="12" t="n"/>
      <x:c r="J83" s="14" t="n"/>
      <x:c r="K83" s="12" t="n"/>
      <x:c r="L83" s="12" t="n"/>
      <x:c r="M83" s="15">
        <x:f>IF($A83="","",SUMIF(AR!$B$2:$B$201,$A83,AR!$H$2:$H$201))</x:f>
      </x:c>
      <x:c r="N83" s="16">
        <x:f>IF(OR($J83="",$J83=0),"",IFERROR($M83/$J83,""))</x:f>
      </x:c>
      <x:c r="O83" s="17">
        <x:f>IF($N83="","",IF($N83&gt;=Params!$B$11,"超额度",IF($N83&gt;=Params!$B$10,"高风险",IF($N83&gt;=Params!$B$9,"预警","正常"))))</x:f>
      </x:c>
    </x:row>
    <x:row r="84">
      <x:c r="A84" s="12" t="n"/>
      <x:c r="B84" s="12" t="n"/>
      <x:c r="C84" s="12" t="n"/>
      <x:c r="D84" s="12" t="n"/>
      <x:c r="E84" s="12" t="n"/>
      <x:c r="F84" s="12" t="n"/>
      <x:c r="G84" s="13" t="n"/>
      <x:c r="H84" s="12" t="n"/>
      <x:c r="I84" s="12" t="n"/>
      <x:c r="J84" s="14" t="n"/>
      <x:c r="K84" s="12" t="n"/>
      <x:c r="L84" s="12" t="n"/>
      <x:c r="M84" s="15">
        <x:f>IF($A84="","",SUMIF(AR!$B$2:$B$201,$A84,AR!$H$2:$H$201))</x:f>
      </x:c>
      <x:c r="N84" s="16">
        <x:f>IF(OR($J84="",$J84=0),"",IFERROR($M84/$J84,""))</x:f>
      </x:c>
      <x:c r="O84" s="17">
        <x:f>IF($N84="","",IF($N84&gt;=Params!$B$11,"超额度",IF($N84&gt;=Params!$B$10,"高风险",IF($N84&gt;=Params!$B$9,"预警","正常"))))</x:f>
      </x:c>
    </x:row>
    <x:row r="85">
      <x:c r="A85" s="12" t="n"/>
      <x:c r="B85" s="12" t="n"/>
      <x:c r="C85" s="12" t="n"/>
      <x:c r="D85" s="12" t="n"/>
      <x:c r="E85" s="12" t="n"/>
      <x:c r="F85" s="12" t="n"/>
      <x:c r="G85" s="13" t="n"/>
      <x:c r="H85" s="12" t="n"/>
      <x:c r="I85" s="12" t="n"/>
      <x:c r="J85" s="14" t="n"/>
      <x:c r="K85" s="12" t="n"/>
      <x:c r="L85" s="12" t="n"/>
      <x:c r="M85" s="15">
        <x:f>IF($A85="","",SUMIF(AR!$B$2:$B$201,$A85,AR!$H$2:$H$201))</x:f>
      </x:c>
      <x:c r="N85" s="16">
        <x:f>IF(OR($J85="",$J85=0),"",IFERROR($M85/$J85,""))</x:f>
      </x:c>
      <x:c r="O85" s="17">
        <x:f>IF($N85="","",IF($N85&gt;=Params!$B$11,"超额度",IF($N85&gt;=Params!$B$10,"高风险",IF($N85&gt;=Params!$B$9,"预警","正常"))))</x:f>
      </x:c>
    </x:row>
    <x:row r="86">
      <x:c r="A86" s="12" t="n"/>
      <x:c r="B86" s="12" t="n"/>
      <x:c r="C86" s="12" t="n"/>
      <x:c r="D86" s="12" t="n"/>
      <x:c r="E86" s="12" t="n"/>
      <x:c r="F86" s="12" t="n"/>
      <x:c r="G86" s="13" t="n"/>
      <x:c r="H86" s="12" t="n"/>
      <x:c r="I86" s="12" t="n"/>
      <x:c r="J86" s="14" t="n"/>
      <x:c r="K86" s="12" t="n"/>
      <x:c r="L86" s="12" t="n"/>
      <x:c r="M86" s="15">
        <x:f>IF($A86="","",SUMIF(AR!$B$2:$B$201,$A86,AR!$H$2:$H$201))</x:f>
      </x:c>
      <x:c r="N86" s="16">
        <x:f>IF(OR($J86="",$J86=0),"",IFERROR($M86/$J86,""))</x:f>
      </x:c>
      <x:c r="O86" s="17">
        <x:f>IF($N86="","",IF($N86&gt;=Params!$B$11,"超额度",IF($N86&gt;=Params!$B$10,"高风险",IF($N86&gt;=Params!$B$9,"预警","正常"))))</x:f>
      </x:c>
    </x:row>
    <x:row r="87">
      <x:c r="A87" s="12" t="n"/>
      <x:c r="B87" s="12" t="n"/>
      <x:c r="C87" s="12" t="n"/>
      <x:c r="D87" s="12" t="n"/>
      <x:c r="E87" s="12" t="n"/>
      <x:c r="F87" s="12" t="n"/>
      <x:c r="G87" s="13" t="n"/>
      <x:c r="H87" s="12" t="n"/>
      <x:c r="I87" s="12" t="n"/>
      <x:c r="J87" s="14" t="n"/>
      <x:c r="K87" s="12" t="n"/>
      <x:c r="L87" s="12" t="n"/>
      <x:c r="M87" s="15">
        <x:f>IF($A87="","",SUMIF(AR!$B$2:$B$201,$A87,AR!$H$2:$H$201))</x:f>
      </x:c>
      <x:c r="N87" s="16">
        <x:f>IF(OR($J87="",$J87=0),"",IFERROR($M87/$J87,""))</x:f>
      </x:c>
      <x:c r="O87" s="17">
        <x:f>IF($N87="","",IF($N87&gt;=Params!$B$11,"超额度",IF($N87&gt;=Params!$B$10,"高风险",IF($N87&gt;=Params!$B$9,"预警","正常"))))</x:f>
      </x:c>
    </x:row>
    <x:row r="88">
      <x:c r="A88" s="12" t="n"/>
      <x:c r="B88" s="12" t="n"/>
      <x:c r="C88" s="12" t="n"/>
      <x:c r="D88" s="12" t="n"/>
      <x:c r="E88" s="12" t="n"/>
      <x:c r="F88" s="12" t="n"/>
      <x:c r="G88" s="13" t="n"/>
      <x:c r="H88" s="12" t="n"/>
      <x:c r="I88" s="12" t="n"/>
      <x:c r="J88" s="14" t="n"/>
      <x:c r="K88" s="12" t="n"/>
      <x:c r="L88" s="12" t="n"/>
      <x:c r="M88" s="15">
        <x:f>IF($A88="","",SUMIF(AR!$B$2:$B$201,$A88,AR!$H$2:$H$201))</x:f>
      </x:c>
      <x:c r="N88" s="16">
        <x:f>IF(OR($J88="",$J88=0),"",IFERROR($M88/$J88,""))</x:f>
      </x:c>
      <x:c r="O88" s="17">
        <x:f>IF($N88="","",IF($N88&gt;=Params!$B$11,"超额度",IF($N88&gt;=Params!$B$10,"高风险",IF($N88&gt;=Params!$B$9,"预警","正常"))))</x:f>
      </x:c>
    </x:row>
    <x:row r="89">
      <x:c r="A89" s="12" t="n"/>
      <x:c r="B89" s="12" t="n"/>
      <x:c r="C89" s="12" t="n"/>
      <x:c r="D89" s="12" t="n"/>
      <x:c r="E89" s="12" t="n"/>
      <x:c r="F89" s="12" t="n"/>
      <x:c r="G89" s="13" t="n"/>
      <x:c r="H89" s="12" t="n"/>
      <x:c r="I89" s="12" t="n"/>
      <x:c r="J89" s="14" t="n"/>
      <x:c r="K89" s="12" t="n"/>
      <x:c r="L89" s="12" t="n"/>
      <x:c r="M89" s="15">
        <x:f>IF($A89="","",SUMIF(AR!$B$2:$B$201,$A89,AR!$H$2:$H$201))</x:f>
      </x:c>
      <x:c r="N89" s="16">
        <x:f>IF(OR($J89="",$J89=0),"",IFERROR($M89/$J89,""))</x:f>
      </x:c>
      <x:c r="O89" s="17">
        <x:f>IF($N89="","",IF($N89&gt;=Params!$B$11,"超额度",IF($N89&gt;=Params!$B$10,"高风险",IF($N89&gt;=Params!$B$9,"预警","正常"))))</x:f>
      </x:c>
    </x:row>
    <x:row r="90">
      <x:c r="A90" s="12" t="n"/>
      <x:c r="B90" s="12" t="n"/>
      <x:c r="C90" s="12" t="n"/>
      <x:c r="D90" s="12" t="n"/>
      <x:c r="E90" s="12" t="n"/>
      <x:c r="F90" s="12" t="n"/>
      <x:c r="G90" s="13" t="n"/>
      <x:c r="H90" s="12" t="n"/>
      <x:c r="I90" s="12" t="n"/>
      <x:c r="J90" s="14" t="n"/>
      <x:c r="K90" s="12" t="n"/>
      <x:c r="L90" s="12" t="n"/>
      <x:c r="M90" s="15">
        <x:f>IF($A90="","",SUMIF(AR!$B$2:$B$201,$A90,AR!$H$2:$H$201))</x:f>
      </x:c>
      <x:c r="N90" s="16">
        <x:f>IF(OR($J90="",$J90=0),"",IFERROR($M90/$J90,""))</x:f>
      </x:c>
      <x:c r="O90" s="17">
        <x:f>IF($N90="","",IF($N90&gt;=Params!$B$11,"超额度",IF($N90&gt;=Params!$B$10,"高风险",IF($N90&gt;=Params!$B$9,"预警","正常"))))</x:f>
      </x:c>
    </x:row>
    <x:row r="91">
      <x:c r="A91" s="12" t="n"/>
      <x:c r="B91" s="12" t="n"/>
      <x:c r="C91" s="12" t="n"/>
      <x:c r="D91" s="12" t="n"/>
      <x:c r="E91" s="12" t="n"/>
      <x:c r="F91" s="12" t="n"/>
      <x:c r="G91" s="13" t="n"/>
      <x:c r="H91" s="12" t="n"/>
      <x:c r="I91" s="12" t="n"/>
      <x:c r="J91" s="14" t="n"/>
      <x:c r="K91" s="12" t="n"/>
      <x:c r="L91" s="12" t="n"/>
      <x:c r="M91" s="15">
        <x:f>IF($A91="","",SUMIF(AR!$B$2:$B$201,$A91,AR!$H$2:$H$201))</x:f>
      </x:c>
      <x:c r="N91" s="16">
        <x:f>IF(OR($J91="",$J91=0),"",IFERROR($M91/$J91,""))</x:f>
      </x:c>
      <x:c r="O91" s="17">
        <x:f>IF($N91="","",IF($N91&gt;=Params!$B$11,"超额度",IF($N91&gt;=Params!$B$10,"高风险",IF($N91&gt;=Params!$B$9,"预警","正常"))))</x:f>
      </x:c>
    </x:row>
    <x:row r="92">
      <x:c r="A92" s="12" t="n"/>
      <x:c r="B92" s="12" t="n"/>
      <x:c r="C92" s="12" t="n"/>
      <x:c r="D92" s="12" t="n"/>
      <x:c r="E92" s="12" t="n"/>
      <x:c r="F92" s="12" t="n"/>
      <x:c r="G92" s="13" t="n"/>
      <x:c r="H92" s="12" t="n"/>
      <x:c r="I92" s="12" t="n"/>
      <x:c r="J92" s="14" t="n"/>
      <x:c r="K92" s="12" t="n"/>
      <x:c r="L92" s="12" t="n"/>
      <x:c r="M92" s="15">
        <x:f>IF($A92="","",SUMIF(AR!$B$2:$B$201,$A92,AR!$H$2:$H$201))</x:f>
      </x:c>
      <x:c r="N92" s="16">
        <x:f>IF(OR($J92="",$J92=0),"",IFERROR($M92/$J92,""))</x:f>
      </x:c>
      <x:c r="O92" s="17">
        <x:f>IF($N92="","",IF($N92&gt;=Params!$B$11,"超额度",IF($N92&gt;=Params!$B$10,"高风险",IF($N92&gt;=Params!$B$9,"预警","正常"))))</x:f>
      </x:c>
    </x:row>
    <x:row r="93">
      <x:c r="A93" s="12" t="n"/>
      <x:c r="B93" s="12" t="n"/>
      <x:c r="C93" s="12" t="n"/>
      <x:c r="D93" s="12" t="n"/>
      <x:c r="E93" s="12" t="n"/>
      <x:c r="F93" s="12" t="n"/>
      <x:c r="G93" s="13" t="n"/>
      <x:c r="H93" s="12" t="n"/>
      <x:c r="I93" s="12" t="n"/>
      <x:c r="J93" s="14" t="n"/>
      <x:c r="K93" s="12" t="n"/>
      <x:c r="L93" s="12" t="n"/>
      <x:c r="M93" s="15">
        <x:f>IF($A93="","",SUMIF(AR!$B$2:$B$201,$A93,AR!$H$2:$H$201))</x:f>
      </x:c>
      <x:c r="N93" s="16">
        <x:f>IF(OR($J93="",$J93=0),"",IFERROR($M93/$J93,""))</x:f>
      </x:c>
      <x:c r="O93" s="17">
        <x:f>IF($N93="","",IF($N93&gt;=Params!$B$11,"超额度",IF($N93&gt;=Params!$B$10,"高风险",IF($N93&gt;=Params!$B$9,"预警","正常"))))</x:f>
      </x:c>
    </x:row>
    <x:row r="94">
      <x:c r="A94" s="12" t="n"/>
      <x:c r="B94" s="12" t="n"/>
      <x:c r="C94" s="12" t="n"/>
      <x:c r="D94" s="12" t="n"/>
      <x:c r="E94" s="12" t="n"/>
      <x:c r="F94" s="12" t="n"/>
      <x:c r="G94" s="13" t="n"/>
      <x:c r="H94" s="12" t="n"/>
      <x:c r="I94" s="12" t="n"/>
      <x:c r="J94" s="14" t="n"/>
      <x:c r="K94" s="12" t="n"/>
      <x:c r="L94" s="12" t="n"/>
      <x:c r="M94" s="15">
        <x:f>IF($A94="","",SUMIF(AR!$B$2:$B$201,$A94,AR!$H$2:$H$201))</x:f>
      </x:c>
      <x:c r="N94" s="16">
        <x:f>IF(OR($J94="",$J94=0),"",IFERROR($M94/$J94,""))</x:f>
      </x:c>
      <x:c r="O94" s="17">
        <x:f>IF($N94="","",IF($N94&gt;=Params!$B$11,"超额度",IF($N94&gt;=Params!$B$10,"高风险",IF($N94&gt;=Params!$B$9,"预警","正常"))))</x:f>
      </x:c>
    </x:row>
    <x:row r="95">
      <x:c r="A95" s="12" t="n"/>
      <x:c r="B95" s="12" t="n"/>
      <x:c r="C95" s="12" t="n"/>
      <x:c r="D95" s="12" t="n"/>
      <x:c r="E95" s="12" t="n"/>
      <x:c r="F95" s="12" t="n"/>
      <x:c r="G95" s="13" t="n"/>
      <x:c r="H95" s="12" t="n"/>
      <x:c r="I95" s="12" t="n"/>
      <x:c r="J95" s="14" t="n"/>
      <x:c r="K95" s="12" t="n"/>
      <x:c r="L95" s="12" t="n"/>
      <x:c r="M95" s="15">
        <x:f>IF($A95="","",SUMIF(AR!$B$2:$B$201,$A95,AR!$H$2:$H$201))</x:f>
      </x:c>
      <x:c r="N95" s="16">
        <x:f>IF(OR($J95="",$J95=0),"",IFERROR($M95/$J95,""))</x:f>
      </x:c>
      <x:c r="O95" s="17">
        <x:f>IF($N95="","",IF($N95&gt;=Params!$B$11,"超额度",IF($N95&gt;=Params!$B$10,"高风险",IF($N95&gt;=Params!$B$9,"预警","正常"))))</x:f>
      </x:c>
    </x:row>
    <x:row r="96">
      <x:c r="A96" s="12" t="n"/>
      <x:c r="B96" s="12" t="n"/>
      <x:c r="C96" s="12" t="n"/>
      <x:c r="D96" s="12" t="n"/>
      <x:c r="E96" s="12" t="n"/>
      <x:c r="F96" s="12" t="n"/>
      <x:c r="G96" s="13" t="n"/>
      <x:c r="H96" s="12" t="n"/>
      <x:c r="I96" s="12" t="n"/>
      <x:c r="J96" s="14" t="n"/>
      <x:c r="K96" s="12" t="n"/>
      <x:c r="L96" s="12" t="n"/>
      <x:c r="M96" s="15">
        <x:f>IF($A96="","",SUMIF(AR!$B$2:$B$201,$A96,AR!$H$2:$H$201))</x:f>
      </x:c>
      <x:c r="N96" s="16">
        <x:f>IF(OR($J96="",$J96=0),"",IFERROR($M96/$J96,""))</x:f>
      </x:c>
      <x:c r="O96" s="17">
        <x:f>IF($N96="","",IF($N96&gt;=Params!$B$11,"超额度",IF($N96&gt;=Params!$B$10,"高风险",IF($N96&gt;=Params!$B$9,"预警","正常"))))</x:f>
      </x:c>
    </x:row>
    <x:row r="97">
      <x:c r="A97" s="12" t="n"/>
      <x:c r="B97" s="12" t="n"/>
      <x:c r="C97" s="12" t="n"/>
      <x:c r="D97" s="12" t="n"/>
      <x:c r="E97" s="12" t="n"/>
      <x:c r="F97" s="12" t="n"/>
      <x:c r="G97" s="13" t="n"/>
      <x:c r="H97" s="12" t="n"/>
      <x:c r="I97" s="12" t="n"/>
      <x:c r="J97" s="14" t="n"/>
      <x:c r="K97" s="12" t="n"/>
      <x:c r="L97" s="12" t="n"/>
      <x:c r="M97" s="15">
        <x:f>IF($A97="","",SUMIF(AR!$B$2:$B$201,$A97,AR!$H$2:$H$201))</x:f>
      </x:c>
      <x:c r="N97" s="16">
        <x:f>IF(OR($J97="",$J97=0),"",IFERROR($M97/$J97,""))</x:f>
      </x:c>
      <x:c r="O97" s="17">
        <x:f>IF($N97="","",IF($N97&gt;=Params!$B$11,"超额度",IF($N97&gt;=Params!$B$10,"高风险",IF($N97&gt;=Params!$B$9,"预警","正常"))))</x:f>
      </x:c>
    </x:row>
    <x:row r="98">
      <x:c r="A98" s="12" t="n"/>
      <x:c r="B98" s="12" t="n"/>
      <x:c r="C98" s="12" t="n"/>
      <x:c r="D98" s="12" t="n"/>
      <x:c r="E98" s="12" t="n"/>
      <x:c r="F98" s="12" t="n"/>
      <x:c r="G98" s="13" t="n"/>
      <x:c r="H98" s="12" t="n"/>
      <x:c r="I98" s="12" t="n"/>
      <x:c r="J98" s="14" t="n"/>
      <x:c r="K98" s="12" t="n"/>
      <x:c r="L98" s="12" t="n"/>
      <x:c r="M98" s="15">
        <x:f>IF($A98="","",SUMIF(AR!$B$2:$B$201,$A98,AR!$H$2:$H$201))</x:f>
      </x:c>
      <x:c r="N98" s="16">
        <x:f>IF(OR($J98="",$J98=0),"",IFERROR($M98/$J98,""))</x:f>
      </x:c>
      <x:c r="O98" s="17">
        <x:f>IF($N98="","",IF($N98&gt;=Params!$B$11,"超额度",IF($N98&gt;=Params!$B$10,"高风险",IF($N98&gt;=Params!$B$9,"预警","正常"))))</x:f>
      </x:c>
    </x:row>
    <x:row r="99">
      <x:c r="A99" s="12" t="n"/>
      <x:c r="B99" s="12" t="n"/>
      <x:c r="C99" s="12" t="n"/>
      <x:c r="D99" s="12" t="n"/>
      <x:c r="E99" s="12" t="n"/>
      <x:c r="F99" s="12" t="n"/>
      <x:c r="G99" s="13" t="n"/>
      <x:c r="H99" s="12" t="n"/>
      <x:c r="I99" s="12" t="n"/>
      <x:c r="J99" s="14" t="n"/>
      <x:c r="K99" s="12" t="n"/>
      <x:c r="L99" s="12" t="n"/>
      <x:c r="M99" s="15">
        <x:f>IF($A99="","",SUMIF(AR!$B$2:$B$201,$A99,AR!$H$2:$H$201))</x:f>
      </x:c>
      <x:c r="N99" s="16">
        <x:f>IF(OR($J99="",$J99=0),"",IFERROR($M99/$J99,""))</x:f>
      </x:c>
      <x:c r="O99" s="17">
        <x:f>IF($N99="","",IF($N99&gt;=Params!$B$11,"超额度",IF($N99&gt;=Params!$B$10,"高风险",IF($N99&gt;=Params!$B$9,"预警","正常"))))</x:f>
      </x:c>
    </x:row>
    <x:row r="100">
      <x:c r="A100" s="12" t="n"/>
      <x:c r="B100" s="12" t="n"/>
      <x:c r="C100" s="12" t="n"/>
      <x:c r="D100" s="12" t="n"/>
      <x:c r="E100" s="12" t="n"/>
      <x:c r="F100" s="12" t="n"/>
      <x:c r="G100" s="13" t="n"/>
      <x:c r="H100" s="12" t="n"/>
      <x:c r="I100" s="12" t="n"/>
      <x:c r="J100" s="14" t="n"/>
      <x:c r="K100" s="12" t="n"/>
      <x:c r="L100" s="12" t="n"/>
      <x:c r="M100" s="15">
        <x:f>IF($A100="","",SUMIF(AR!$B$2:$B$201,$A100,AR!$H$2:$H$201))</x:f>
      </x:c>
      <x:c r="N100" s="16">
        <x:f>IF(OR($J100="",$J100=0),"",IFERROR($M100/$J100,""))</x:f>
      </x:c>
      <x:c r="O100" s="17">
        <x:f>IF($N100="","",IF($N100&gt;=Params!$B$11,"超额度",IF($N100&gt;=Params!$B$10,"高风险",IF($N100&gt;=Params!$B$9,"预警","正常"))))</x:f>
      </x:c>
    </x:row>
    <x:row r="101">
      <x:c r="A101" s="12" t="n"/>
      <x:c r="B101" s="12" t="n"/>
      <x:c r="C101" s="12" t="n"/>
      <x:c r="D101" s="12" t="n"/>
      <x:c r="E101" s="12" t="n"/>
      <x:c r="F101" s="12" t="n"/>
      <x:c r="G101" s="13" t="n"/>
      <x:c r="H101" s="12" t="n"/>
      <x:c r="I101" s="12" t="n"/>
      <x:c r="J101" s="14" t="n"/>
      <x:c r="K101" s="12" t="n"/>
      <x:c r="L101" s="12" t="n"/>
      <x:c r="M101" s="15">
        <x:f>IF($A101="","",SUMIF(AR!$B$2:$B$201,$A101,AR!$H$2:$H$201))</x:f>
      </x:c>
      <x:c r="N101" s="16">
        <x:f>IF(OR($J101="",$J101=0),"",IFERROR($M101/$J101,""))</x:f>
      </x:c>
      <x:c r="O101" s="17">
        <x:f>IF($N101="","",IF($N101&gt;=Params!$B$11,"超额度",IF($N101&gt;=Params!$B$10,"高风险",IF($N101&gt;=Params!$B$9,"预警","正常"))))</x:f>
      </x:c>
    </x:row>
    <x:row r="102">
      <x:c r="A102" s="12" t="n"/>
      <x:c r="B102" s="12" t="n"/>
      <x:c r="C102" s="12" t="n"/>
      <x:c r="D102" s="12" t="n"/>
      <x:c r="E102" s="12" t="n"/>
      <x:c r="F102" s="12" t="n"/>
      <x:c r="G102" s="13" t="n"/>
      <x:c r="H102" s="12" t="n"/>
      <x:c r="I102" s="12" t="n"/>
      <x:c r="J102" s="14" t="n"/>
      <x:c r="K102" s="12" t="n"/>
      <x:c r="L102" s="12" t="n"/>
      <x:c r="M102" s="15">
        <x:f>IF($A102="","",SUMIF(AR!$B$2:$B$201,$A102,AR!$H$2:$H$201))</x:f>
      </x:c>
      <x:c r="N102" s="16">
        <x:f>IF(OR($J102="",$J102=0),"",IFERROR($M102/$J102,""))</x:f>
      </x:c>
      <x:c r="O102" s="17">
        <x:f>IF($N102="","",IF($N102&gt;=Params!$B$11,"超额度",IF($N102&gt;=Params!$B$10,"高风险",IF($N102&gt;=Params!$B$9,"预警","正常"))))</x:f>
      </x:c>
    </x:row>
    <x:row r="103">
      <x:c r="A103" s="12" t="n"/>
      <x:c r="B103" s="12" t="n"/>
      <x:c r="C103" s="12" t="n"/>
      <x:c r="D103" s="12" t="n"/>
      <x:c r="E103" s="12" t="n"/>
      <x:c r="F103" s="12" t="n"/>
      <x:c r="G103" s="13" t="n"/>
      <x:c r="H103" s="12" t="n"/>
      <x:c r="I103" s="12" t="n"/>
      <x:c r="J103" s="14" t="n"/>
      <x:c r="K103" s="12" t="n"/>
      <x:c r="L103" s="12" t="n"/>
      <x:c r="M103" s="15">
        <x:f>IF($A103="","",SUMIF(AR!$B$2:$B$201,$A103,AR!$H$2:$H$201))</x:f>
      </x:c>
      <x:c r="N103" s="16">
        <x:f>IF(OR($J103="",$J103=0),"",IFERROR($M103/$J103,""))</x:f>
      </x:c>
      <x:c r="O103" s="17">
        <x:f>IF($N103="","",IF($N103&gt;=Params!$B$11,"超额度",IF($N103&gt;=Params!$B$10,"高风险",IF($N103&gt;=Params!$B$9,"预警","正常"))))</x:f>
      </x:c>
    </x:row>
    <x:row r="104">
      <x:c r="A104" s="12" t="n"/>
      <x:c r="B104" s="12" t="n"/>
      <x:c r="C104" s="12" t="n"/>
      <x:c r="D104" s="12" t="n"/>
      <x:c r="E104" s="12" t="n"/>
      <x:c r="F104" s="12" t="n"/>
      <x:c r="G104" s="13" t="n"/>
      <x:c r="H104" s="12" t="n"/>
      <x:c r="I104" s="12" t="n"/>
      <x:c r="J104" s="14" t="n"/>
      <x:c r="K104" s="12" t="n"/>
      <x:c r="L104" s="12" t="n"/>
      <x:c r="M104" s="15">
        <x:f>IF($A104="","",SUMIF(AR!$B$2:$B$201,$A104,AR!$H$2:$H$201))</x:f>
      </x:c>
      <x:c r="N104" s="16">
        <x:f>IF(OR($J104="",$J104=0),"",IFERROR($M104/$J104,""))</x:f>
      </x:c>
      <x:c r="O104" s="17">
        <x:f>IF($N104="","",IF($N104&gt;=Params!$B$11,"超额度",IF($N104&gt;=Params!$B$10,"高风险",IF($N104&gt;=Params!$B$9,"预警","正常"))))</x:f>
      </x:c>
    </x:row>
    <x:row r="105">
      <x:c r="A105" s="12" t="n"/>
      <x:c r="B105" s="12" t="n"/>
      <x:c r="C105" s="12" t="n"/>
      <x:c r="D105" s="12" t="n"/>
      <x:c r="E105" s="12" t="n"/>
      <x:c r="F105" s="12" t="n"/>
      <x:c r="G105" s="13" t="n"/>
      <x:c r="H105" s="12" t="n"/>
      <x:c r="I105" s="12" t="n"/>
      <x:c r="J105" s="14" t="n"/>
      <x:c r="K105" s="12" t="n"/>
      <x:c r="L105" s="12" t="n"/>
      <x:c r="M105" s="15">
        <x:f>IF($A105="","",SUMIF(AR!$B$2:$B$201,$A105,AR!$H$2:$H$201))</x:f>
      </x:c>
      <x:c r="N105" s="16">
        <x:f>IF(OR($J105="",$J105=0),"",IFERROR($M105/$J105,""))</x:f>
      </x:c>
      <x:c r="O105" s="17">
        <x:f>IF($N105="","",IF($N105&gt;=Params!$B$11,"超额度",IF($N105&gt;=Params!$B$10,"高风险",IF($N105&gt;=Params!$B$9,"预警","正常"))))</x:f>
      </x:c>
    </x:row>
    <x:row r="106">
      <x:c r="A106" s="12" t="n"/>
      <x:c r="B106" s="12" t="n"/>
      <x:c r="C106" s="12" t="n"/>
      <x:c r="D106" s="12" t="n"/>
      <x:c r="E106" s="12" t="n"/>
      <x:c r="F106" s="12" t="n"/>
      <x:c r="G106" s="13" t="n"/>
      <x:c r="H106" s="12" t="n"/>
      <x:c r="I106" s="12" t="n"/>
      <x:c r="J106" s="14" t="n"/>
      <x:c r="K106" s="12" t="n"/>
      <x:c r="L106" s="12" t="n"/>
      <x:c r="M106" s="15">
        <x:f>IF($A106="","",SUMIF(AR!$B$2:$B$201,$A106,AR!$H$2:$H$201))</x:f>
      </x:c>
      <x:c r="N106" s="16">
        <x:f>IF(OR($J106="",$J106=0),"",IFERROR($M106/$J106,""))</x:f>
      </x:c>
      <x:c r="O106" s="17">
        <x:f>IF($N106="","",IF($N106&gt;=Params!$B$11,"超额度",IF($N106&gt;=Params!$B$10,"高风险",IF($N106&gt;=Params!$B$9,"预警","正常"))))</x:f>
      </x:c>
    </x:row>
    <x:row r="107">
      <x:c r="A107" s="12" t="n"/>
      <x:c r="B107" s="12" t="n"/>
      <x:c r="C107" s="12" t="n"/>
      <x:c r="D107" s="12" t="n"/>
      <x:c r="E107" s="12" t="n"/>
      <x:c r="F107" s="12" t="n"/>
      <x:c r="G107" s="13" t="n"/>
      <x:c r="H107" s="12" t="n"/>
      <x:c r="I107" s="12" t="n"/>
      <x:c r="J107" s="14" t="n"/>
      <x:c r="K107" s="12" t="n"/>
      <x:c r="L107" s="12" t="n"/>
      <x:c r="M107" s="15">
        <x:f>IF($A107="","",SUMIF(AR!$B$2:$B$201,$A107,AR!$H$2:$H$201))</x:f>
      </x:c>
      <x:c r="N107" s="16">
        <x:f>IF(OR($J107="",$J107=0),"",IFERROR($M107/$J107,""))</x:f>
      </x:c>
      <x:c r="O107" s="17">
        <x:f>IF($N107="","",IF($N107&gt;=Params!$B$11,"超额度",IF($N107&gt;=Params!$B$10,"高风险",IF($N107&gt;=Params!$B$9,"预警","正常"))))</x:f>
      </x:c>
    </x:row>
    <x:row r="108">
      <x:c r="A108" s="12" t="n"/>
      <x:c r="B108" s="12" t="n"/>
      <x:c r="C108" s="12" t="n"/>
      <x:c r="D108" s="12" t="n"/>
      <x:c r="E108" s="12" t="n"/>
      <x:c r="F108" s="12" t="n"/>
      <x:c r="G108" s="13" t="n"/>
      <x:c r="H108" s="12" t="n"/>
      <x:c r="I108" s="12" t="n"/>
      <x:c r="J108" s="14" t="n"/>
      <x:c r="K108" s="12" t="n"/>
      <x:c r="L108" s="12" t="n"/>
      <x:c r="M108" s="15">
        <x:f>IF($A108="","",SUMIF(AR!$B$2:$B$201,$A108,AR!$H$2:$H$201))</x:f>
      </x:c>
      <x:c r="N108" s="16">
        <x:f>IF(OR($J108="",$J108=0),"",IFERROR($M108/$J108,""))</x:f>
      </x:c>
      <x:c r="O108" s="17">
        <x:f>IF($N108="","",IF($N108&gt;=Params!$B$11,"超额度",IF($N108&gt;=Params!$B$10,"高风险",IF($N108&gt;=Params!$B$9,"预警","正常"))))</x:f>
      </x:c>
    </x:row>
    <x:row r="109">
      <x:c r="A109" s="12" t="n"/>
      <x:c r="B109" s="12" t="n"/>
      <x:c r="C109" s="12" t="n"/>
      <x:c r="D109" s="12" t="n"/>
      <x:c r="E109" s="12" t="n"/>
      <x:c r="F109" s="12" t="n"/>
      <x:c r="G109" s="13" t="n"/>
      <x:c r="H109" s="12" t="n"/>
      <x:c r="I109" s="12" t="n"/>
      <x:c r="J109" s="14" t="n"/>
      <x:c r="K109" s="12" t="n"/>
      <x:c r="L109" s="12" t="n"/>
      <x:c r="M109" s="15">
        <x:f>IF($A109="","",SUMIF(AR!$B$2:$B$201,$A109,AR!$H$2:$H$201))</x:f>
      </x:c>
      <x:c r="N109" s="16">
        <x:f>IF(OR($J109="",$J109=0),"",IFERROR($M109/$J109,""))</x:f>
      </x:c>
      <x:c r="O109" s="17">
        <x:f>IF($N109="","",IF($N109&gt;=Params!$B$11,"超额度",IF($N109&gt;=Params!$B$10,"高风险",IF($N109&gt;=Params!$B$9,"预警","正常"))))</x:f>
      </x:c>
    </x:row>
    <x:row r="110">
      <x:c r="A110" s="12" t="n"/>
      <x:c r="B110" s="12" t="n"/>
      <x:c r="C110" s="12" t="n"/>
      <x:c r="D110" s="12" t="n"/>
      <x:c r="E110" s="12" t="n"/>
      <x:c r="F110" s="12" t="n"/>
      <x:c r="G110" s="13" t="n"/>
      <x:c r="H110" s="12" t="n"/>
      <x:c r="I110" s="12" t="n"/>
      <x:c r="J110" s="14" t="n"/>
      <x:c r="K110" s="12" t="n"/>
      <x:c r="L110" s="12" t="n"/>
      <x:c r="M110" s="15">
        <x:f>IF($A110="","",SUMIF(AR!$B$2:$B$201,$A110,AR!$H$2:$H$201))</x:f>
      </x:c>
      <x:c r="N110" s="16">
        <x:f>IF(OR($J110="",$J110=0),"",IFERROR($M110/$J110,""))</x:f>
      </x:c>
      <x:c r="O110" s="17">
        <x:f>IF($N110="","",IF($N110&gt;=Params!$B$11,"超额度",IF($N110&gt;=Params!$B$10,"高风险",IF($N110&gt;=Params!$B$9,"预警","正常"))))</x:f>
      </x:c>
    </x:row>
    <x:row r="111">
      <x:c r="A111" s="12" t="n"/>
      <x:c r="B111" s="12" t="n"/>
      <x:c r="C111" s="12" t="n"/>
      <x:c r="D111" s="12" t="n"/>
      <x:c r="E111" s="12" t="n"/>
      <x:c r="F111" s="12" t="n"/>
      <x:c r="G111" s="13" t="n"/>
      <x:c r="H111" s="12" t="n"/>
      <x:c r="I111" s="12" t="n"/>
      <x:c r="J111" s="14" t="n"/>
      <x:c r="K111" s="12" t="n"/>
      <x:c r="L111" s="12" t="n"/>
      <x:c r="M111" s="15">
        <x:f>IF($A111="","",SUMIF(AR!$B$2:$B$201,$A111,AR!$H$2:$H$201))</x:f>
      </x:c>
      <x:c r="N111" s="16">
        <x:f>IF(OR($J111="",$J111=0),"",IFERROR($M111/$J111,""))</x:f>
      </x:c>
      <x:c r="O111" s="17">
        <x:f>IF($N111="","",IF($N111&gt;=Params!$B$11,"超额度",IF($N111&gt;=Params!$B$10,"高风险",IF($N111&gt;=Params!$B$9,"预警","正常"))))</x:f>
      </x:c>
    </x:row>
    <x:row r="112">
      <x:c r="A112" s="12" t="n"/>
      <x:c r="B112" s="12" t="n"/>
      <x:c r="C112" s="12" t="n"/>
      <x:c r="D112" s="12" t="n"/>
      <x:c r="E112" s="12" t="n"/>
      <x:c r="F112" s="12" t="n"/>
      <x:c r="G112" s="13" t="n"/>
      <x:c r="H112" s="12" t="n"/>
      <x:c r="I112" s="12" t="n"/>
      <x:c r="J112" s="14" t="n"/>
      <x:c r="K112" s="12" t="n"/>
      <x:c r="L112" s="12" t="n"/>
      <x:c r="M112" s="15">
        <x:f>IF($A112="","",SUMIF(AR!$B$2:$B$201,$A112,AR!$H$2:$H$201))</x:f>
      </x:c>
      <x:c r="N112" s="16">
        <x:f>IF(OR($J112="",$J112=0),"",IFERROR($M112/$J112,""))</x:f>
      </x:c>
      <x:c r="O112" s="17">
        <x:f>IF($N112="","",IF($N112&gt;=Params!$B$11,"超额度",IF($N112&gt;=Params!$B$10,"高风险",IF($N112&gt;=Params!$B$9,"预警","正常"))))</x:f>
      </x:c>
    </x:row>
    <x:row r="113">
      <x:c r="A113" s="12" t="n"/>
      <x:c r="B113" s="12" t="n"/>
      <x:c r="C113" s="12" t="n"/>
      <x:c r="D113" s="12" t="n"/>
      <x:c r="E113" s="12" t="n"/>
      <x:c r="F113" s="12" t="n"/>
      <x:c r="G113" s="13" t="n"/>
      <x:c r="H113" s="12" t="n"/>
      <x:c r="I113" s="12" t="n"/>
      <x:c r="J113" s="14" t="n"/>
      <x:c r="K113" s="12" t="n"/>
      <x:c r="L113" s="12" t="n"/>
      <x:c r="M113" s="15">
        <x:f>IF($A113="","",SUMIF(AR!$B$2:$B$201,$A113,AR!$H$2:$H$201))</x:f>
      </x:c>
      <x:c r="N113" s="16">
        <x:f>IF(OR($J113="",$J113=0),"",IFERROR($M113/$J113,""))</x:f>
      </x:c>
      <x:c r="O113" s="17">
        <x:f>IF($N113="","",IF($N113&gt;=Params!$B$11,"超额度",IF($N113&gt;=Params!$B$10,"高风险",IF($N113&gt;=Params!$B$9,"预警","正常"))))</x:f>
      </x:c>
    </x:row>
    <x:row r="114">
      <x:c r="A114" s="12" t="n"/>
      <x:c r="B114" s="12" t="n"/>
      <x:c r="C114" s="12" t="n"/>
      <x:c r="D114" s="12" t="n"/>
      <x:c r="E114" s="12" t="n"/>
      <x:c r="F114" s="12" t="n"/>
      <x:c r="G114" s="13" t="n"/>
      <x:c r="H114" s="12" t="n"/>
      <x:c r="I114" s="12" t="n"/>
      <x:c r="J114" s="14" t="n"/>
      <x:c r="K114" s="12" t="n"/>
      <x:c r="L114" s="12" t="n"/>
      <x:c r="M114" s="15">
        <x:f>IF($A114="","",SUMIF(AR!$B$2:$B$201,$A114,AR!$H$2:$H$201))</x:f>
      </x:c>
      <x:c r="N114" s="16">
        <x:f>IF(OR($J114="",$J114=0),"",IFERROR($M114/$J114,""))</x:f>
      </x:c>
      <x:c r="O114" s="17">
        <x:f>IF($N114="","",IF($N114&gt;=Params!$B$11,"超额度",IF($N114&gt;=Params!$B$10,"高风险",IF($N114&gt;=Params!$B$9,"预警","正常"))))</x:f>
      </x:c>
    </x:row>
    <x:row r="115">
      <x:c r="A115" s="12" t="n"/>
      <x:c r="B115" s="12" t="n"/>
      <x:c r="C115" s="12" t="n"/>
      <x:c r="D115" s="12" t="n"/>
      <x:c r="E115" s="12" t="n"/>
      <x:c r="F115" s="12" t="n"/>
      <x:c r="G115" s="13" t="n"/>
      <x:c r="H115" s="12" t="n"/>
      <x:c r="I115" s="12" t="n"/>
      <x:c r="J115" s="14" t="n"/>
      <x:c r="K115" s="12" t="n"/>
      <x:c r="L115" s="12" t="n"/>
      <x:c r="M115" s="15">
        <x:f>IF($A115="","",SUMIF(AR!$B$2:$B$201,$A115,AR!$H$2:$H$201))</x:f>
      </x:c>
      <x:c r="N115" s="16">
        <x:f>IF(OR($J115="",$J115=0),"",IFERROR($M115/$J115,""))</x:f>
      </x:c>
      <x:c r="O115" s="17">
        <x:f>IF($N115="","",IF($N115&gt;=Params!$B$11,"超额度",IF($N115&gt;=Params!$B$10,"高风险",IF($N115&gt;=Params!$B$9,"预警","正常"))))</x:f>
      </x:c>
    </x:row>
    <x:row r="116">
      <x:c r="A116" s="12" t="n"/>
      <x:c r="B116" s="12" t="n"/>
      <x:c r="C116" s="12" t="n"/>
      <x:c r="D116" s="12" t="n"/>
      <x:c r="E116" s="12" t="n"/>
      <x:c r="F116" s="12" t="n"/>
      <x:c r="G116" s="13" t="n"/>
      <x:c r="H116" s="12" t="n"/>
      <x:c r="I116" s="12" t="n"/>
      <x:c r="J116" s="14" t="n"/>
      <x:c r="K116" s="12" t="n"/>
      <x:c r="L116" s="12" t="n"/>
      <x:c r="M116" s="15">
        <x:f>IF($A116="","",SUMIF(AR!$B$2:$B$201,$A116,AR!$H$2:$H$201))</x:f>
      </x:c>
      <x:c r="N116" s="16">
        <x:f>IF(OR($J116="",$J116=0),"",IFERROR($M116/$J116,""))</x:f>
      </x:c>
      <x:c r="O116" s="17">
        <x:f>IF($N116="","",IF($N116&gt;=Params!$B$11,"超额度",IF($N116&gt;=Params!$B$10,"高风险",IF($N116&gt;=Params!$B$9,"预警","正常"))))</x:f>
      </x:c>
    </x:row>
    <x:row r="117">
      <x:c r="A117" s="12" t="n"/>
      <x:c r="B117" s="12" t="n"/>
      <x:c r="C117" s="12" t="n"/>
      <x:c r="D117" s="12" t="n"/>
      <x:c r="E117" s="12" t="n"/>
      <x:c r="F117" s="12" t="n"/>
      <x:c r="G117" s="13" t="n"/>
      <x:c r="H117" s="12" t="n"/>
      <x:c r="I117" s="12" t="n"/>
      <x:c r="J117" s="14" t="n"/>
      <x:c r="K117" s="12" t="n"/>
      <x:c r="L117" s="12" t="n"/>
      <x:c r="M117" s="15">
        <x:f>IF($A117="","",SUMIF(AR!$B$2:$B$201,$A117,AR!$H$2:$H$201))</x:f>
      </x:c>
      <x:c r="N117" s="16">
        <x:f>IF(OR($J117="",$J117=0),"",IFERROR($M117/$J117,""))</x:f>
      </x:c>
      <x:c r="O117" s="17">
        <x:f>IF($N117="","",IF($N117&gt;=Params!$B$11,"超额度",IF($N117&gt;=Params!$B$10,"高风险",IF($N117&gt;=Params!$B$9,"预警","正常"))))</x:f>
      </x:c>
    </x:row>
    <x:row r="118">
      <x:c r="A118" s="12" t="n"/>
      <x:c r="B118" s="12" t="n"/>
      <x:c r="C118" s="12" t="n"/>
      <x:c r="D118" s="12" t="n"/>
      <x:c r="E118" s="12" t="n"/>
      <x:c r="F118" s="12" t="n"/>
      <x:c r="G118" s="13" t="n"/>
      <x:c r="H118" s="12" t="n"/>
      <x:c r="I118" s="12" t="n"/>
      <x:c r="J118" s="14" t="n"/>
      <x:c r="K118" s="12" t="n"/>
      <x:c r="L118" s="12" t="n"/>
      <x:c r="M118" s="15">
        <x:f>IF($A118="","",SUMIF(AR!$B$2:$B$201,$A118,AR!$H$2:$H$201))</x:f>
      </x:c>
      <x:c r="N118" s="16">
        <x:f>IF(OR($J118="",$J118=0),"",IFERROR($M118/$J118,""))</x:f>
      </x:c>
      <x:c r="O118" s="17">
        <x:f>IF($N118="","",IF($N118&gt;=Params!$B$11,"超额度",IF($N118&gt;=Params!$B$10,"高风险",IF($N118&gt;=Params!$B$9,"预警","正常"))))</x:f>
      </x:c>
    </x:row>
    <x:row r="119">
      <x:c r="A119" s="12" t="n"/>
      <x:c r="B119" s="12" t="n"/>
      <x:c r="C119" s="12" t="n"/>
      <x:c r="D119" s="12" t="n"/>
      <x:c r="E119" s="12" t="n"/>
      <x:c r="F119" s="12" t="n"/>
      <x:c r="G119" s="13" t="n"/>
      <x:c r="H119" s="12" t="n"/>
      <x:c r="I119" s="12" t="n"/>
      <x:c r="J119" s="14" t="n"/>
      <x:c r="K119" s="12" t="n"/>
      <x:c r="L119" s="12" t="n"/>
      <x:c r="M119" s="15">
        <x:f>IF($A119="","",SUMIF(AR!$B$2:$B$201,$A119,AR!$H$2:$H$201))</x:f>
      </x:c>
      <x:c r="N119" s="16">
        <x:f>IF(OR($J119="",$J119=0),"",IFERROR($M119/$J119,""))</x:f>
      </x:c>
      <x:c r="O119" s="17">
        <x:f>IF($N119="","",IF($N119&gt;=Params!$B$11,"超额度",IF($N119&gt;=Params!$B$10,"高风险",IF($N119&gt;=Params!$B$9,"预警","正常"))))</x:f>
      </x:c>
    </x:row>
    <x:row r="120">
      <x:c r="A120" s="12" t="n"/>
      <x:c r="B120" s="12" t="n"/>
      <x:c r="C120" s="12" t="n"/>
      <x:c r="D120" s="12" t="n"/>
      <x:c r="E120" s="12" t="n"/>
      <x:c r="F120" s="12" t="n"/>
      <x:c r="G120" s="13" t="n"/>
      <x:c r="H120" s="12" t="n"/>
      <x:c r="I120" s="12" t="n"/>
      <x:c r="J120" s="14" t="n"/>
      <x:c r="K120" s="12" t="n"/>
      <x:c r="L120" s="12" t="n"/>
      <x:c r="M120" s="15">
        <x:f>IF($A120="","",SUMIF(AR!$B$2:$B$201,$A120,AR!$H$2:$H$201))</x:f>
      </x:c>
      <x:c r="N120" s="16">
        <x:f>IF(OR($J120="",$J120=0),"",IFERROR($M120/$J120,""))</x:f>
      </x:c>
      <x:c r="O120" s="17">
        <x:f>IF($N120="","",IF($N120&gt;=Params!$B$11,"超额度",IF($N120&gt;=Params!$B$10,"高风险",IF($N120&gt;=Params!$B$9,"预警","正常"))))</x:f>
      </x:c>
    </x:row>
    <x:row r="121">
      <x:c r="A121" s="12" t="n"/>
      <x:c r="B121" s="12" t="n"/>
      <x:c r="C121" s="12" t="n"/>
      <x:c r="D121" s="12" t="n"/>
      <x:c r="E121" s="12" t="n"/>
      <x:c r="F121" s="12" t="n"/>
      <x:c r="G121" s="13" t="n"/>
      <x:c r="H121" s="12" t="n"/>
      <x:c r="I121" s="12" t="n"/>
      <x:c r="J121" s="14" t="n"/>
      <x:c r="K121" s="12" t="n"/>
      <x:c r="L121" s="12" t="n"/>
      <x:c r="M121" s="15">
        <x:f>IF($A121="","",SUMIF(AR!$B$2:$B$201,$A121,AR!$H$2:$H$201))</x:f>
      </x:c>
      <x:c r="N121" s="16">
        <x:f>IF(OR($J121="",$J121=0),"",IFERROR($M121/$J121,""))</x:f>
      </x:c>
      <x:c r="O121" s="17">
        <x:f>IF($N121="","",IF($N121&gt;=Params!$B$11,"超额度",IF($N121&gt;=Params!$B$10,"高风险",IF($N121&gt;=Params!$B$9,"预警","正常"))))</x:f>
      </x:c>
    </x:row>
    <x:row r="122">
      <x:c r="A122" s="12" t="n"/>
      <x:c r="B122" s="12" t="n"/>
      <x:c r="C122" s="12" t="n"/>
      <x:c r="D122" s="12" t="n"/>
      <x:c r="E122" s="12" t="n"/>
      <x:c r="F122" s="12" t="n"/>
      <x:c r="G122" s="13" t="n"/>
      <x:c r="H122" s="12" t="n"/>
      <x:c r="I122" s="12" t="n"/>
      <x:c r="J122" s="14" t="n"/>
      <x:c r="K122" s="12" t="n"/>
      <x:c r="L122" s="12" t="n"/>
      <x:c r="M122" s="15">
        <x:f>IF($A122="","",SUMIF(AR!$B$2:$B$201,$A122,AR!$H$2:$H$201))</x:f>
      </x:c>
      <x:c r="N122" s="16">
        <x:f>IF(OR($J122="",$J122=0),"",IFERROR($M122/$J122,""))</x:f>
      </x:c>
      <x:c r="O122" s="17">
        <x:f>IF($N122="","",IF($N122&gt;=Params!$B$11,"超额度",IF($N122&gt;=Params!$B$10,"高风险",IF($N122&gt;=Params!$B$9,"预警","正常"))))</x:f>
      </x:c>
    </x:row>
    <x:row r="123">
      <x:c r="A123" s="12" t="n"/>
      <x:c r="B123" s="12" t="n"/>
      <x:c r="C123" s="12" t="n"/>
      <x:c r="D123" s="12" t="n"/>
      <x:c r="E123" s="12" t="n"/>
      <x:c r="F123" s="12" t="n"/>
      <x:c r="G123" s="13" t="n"/>
      <x:c r="H123" s="12" t="n"/>
      <x:c r="I123" s="12" t="n"/>
      <x:c r="J123" s="14" t="n"/>
      <x:c r="K123" s="12" t="n"/>
      <x:c r="L123" s="12" t="n"/>
      <x:c r="M123" s="15">
        <x:f>IF($A123="","",SUMIF(AR!$B$2:$B$201,$A123,AR!$H$2:$H$201))</x:f>
      </x:c>
      <x:c r="N123" s="16">
        <x:f>IF(OR($J123="",$J123=0),"",IFERROR($M123/$J123,""))</x:f>
      </x:c>
      <x:c r="O123" s="17">
        <x:f>IF($N123="","",IF($N123&gt;=Params!$B$11,"超额度",IF($N123&gt;=Params!$B$10,"高风险",IF($N123&gt;=Params!$B$9,"预警","正常"))))</x:f>
      </x:c>
    </x:row>
    <x:row r="124">
      <x:c r="A124" s="12" t="n"/>
      <x:c r="B124" s="12" t="n"/>
      <x:c r="C124" s="12" t="n"/>
      <x:c r="D124" s="12" t="n"/>
      <x:c r="E124" s="12" t="n"/>
      <x:c r="F124" s="12" t="n"/>
      <x:c r="G124" s="13" t="n"/>
      <x:c r="H124" s="12" t="n"/>
      <x:c r="I124" s="12" t="n"/>
      <x:c r="J124" s="14" t="n"/>
      <x:c r="K124" s="12" t="n"/>
      <x:c r="L124" s="12" t="n"/>
      <x:c r="M124" s="15">
        <x:f>IF($A124="","",SUMIF(AR!$B$2:$B$201,$A124,AR!$H$2:$H$201))</x:f>
      </x:c>
      <x:c r="N124" s="16">
        <x:f>IF(OR($J124="",$J124=0),"",IFERROR($M124/$J124,""))</x:f>
      </x:c>
      <x:c r="O124" s="17">
        <x:f>IF($N124="","",IF($N124&gt;=Params!$B$11,"超额度",IF($N124&gt;=Params!$B$10,"高风险",IF($N124&gt;=Params!$B$9,"预警","正常"))))</x:f>
      </x:c>
    </x:row>
    <x:row r="125">
      <x:c r="A125" s="12" t="n"/>
      <x:c r="B125" s="12" t="n"/>
      <x:c r="C125" s="12" t="n"/>
      <x:c r="D125" s="12" t="n"/>
      <x:c r="E125" s="12" t="n"/>
      <x:c r="F125" s="12" t="n"/>
      <x:c r="G125" s="13" t="n"/>
      <x:c r="H125" s="12" t="n"/>
      <x:c r="I125" s="12" t="n"/>
      <x:c r="J125" s="14" t="n"/>
      <x:c r="K125" s="12" t="n"/>
      <x:c r="L125" s="12" t="n"/>
      <x:c r="M125" s="15">
        <x:f>IF($A125="","",SUMIF(AR!$B$2:$B$201,$A125,AR!$H$2:$H$201))</x:f>
      </x:c>
      <x:c r="N125" s="16">
        <x:f>IF(OR($J125="",$J125=0),"",IFERROR($M125/$J125,""))</x:f>
      </x:c>
      <x:c r="O125" s="17">
        <x:f>IF($N125="","",IF($N125&gt;=Params!$B$11,"超额度",IF($N125&gt;=Params!$B$10,"高风险",IF($N125&gt;=Params!$B$9,"预警","正常"))))</x:f>
      </x:c>
    </x:row>
    <x:row r="126">
      <x:c r="A126" s="12" t="n"/>
      <x:c r="B126" s="12" t="n"/>
      <x:c r="C126" s="12" t="n"/>
      <x:c r="D126" s="12" t="n"/>
      <x:c r="E126" s="12" t="n"/>
      <x:c r="F126" s="12" t="n"/>
      <x:c r="G126" s="13" t="n"/>
      <x:c r="H126" s="12" t="n"/>
      <x:c r="I126" s="12" t="n"/>
      <x:c r="J126" s="14" t="n"/>
      <x:c r="K126" s="12" t="n"/>
      <x:c r="L126" s="12" t="n"/>
      <x:c r="M126" s="15">
        <x:f>IF($A126="","",SUMIF(AR!$B$2:$B$201,$A126,AR!$H$2:$H$201))</x:f>
      </x:c>
      <x:c r="N126" s="16">
        <x:f>IF(OR($J126="",$J126=0),"",IFERROR($M126/$J126,""))</x:f>
      </x:c>
      <x:c r="O126" s="17">
        <x:f>IF($N126="","",IF($N126&gt;=Params!$B$11,"超额度",IF($N126&gt;=Params!$B$10,"高风险",IF($N126&gt;=Params!$B$9,"预警","正常"))))</x:f>
      </x:c>
    </x:row>
    <x:row r="127">
      <x:c r="A127" s="12" t="n"/>
      <x:c r="B127" s="12" t="n"/>
      <x:c r="C127" s="12" t="n"/>
      <x:c r="D127" s="12" t="n"/>
      <x:c r="E127" s="12" t="n"/>
      <x:c r="F127" s="12" t="n"/>
      <x:c r="G127" s="13" t="n"/>
      <x:c r="H127" s="12" t="n"/>
      <x:c r="I127" s="12" t="n"/>
      <x:c r="J127" s="14" t="n"/>
      <x:c r="K127" s="12" t="n"/>
      <x:c r="L127" s="12" t="n"/>
      <x:c r="M127" s="15">
        <x:f>IF($A127="","",SUMIF(AR!$B$2:$B$201,$A127,AR!$H$2:$H$201))</x:f>
      </x:c>
      <x:c r="N127" s="16">
        <x:f>IF(OR($J127="",$J127=0),"",IFERROR($M127/$J127,""))</x:f>
      </x:c>
      <x:c r="O127" s="17">
        <x:f>IF($N127="","",IF($N127&gt;=Params!$B$11,"超额度",IF($N127&gt;=Params!$B$10,"高风险",IF($N127&gt;=Params!$B$9,"预警","正常"))))</x:f>
      </x:c>
    </x:row>
    <x:row r="128">
      <x:c r="A128" s="12" t="n"/>
      <x:c r="B128" s="12" t="n"/>
      <x:c r="C128" s="12" t="n"/>
      <x:c r="D128" s="12" t="n"/>
      <x:c r="E128" s="12" t="n"/>
      <x:c r="F128" s="12" t="n"/>
      <x:c r="G128" s="13" t="n"/>
      <x:c r="H128" s="12" t="n"/>
      <x:c r="I128" s="12" t="n"/>
      <x:c r="J128" s="14" t="n"/>
      <x:c r="K128" s="12" t="n"/>
      <x:c r="L128" s="12" t="n"/>
      <x:c r="M128" s="15">
        <x:f>IF($A128="","",SUMIF(AR!$B$2:$B$201,$A128,AR!$H$2:$H$201))</x:f>
      </x:c>
      <x:c r="N128" s="16">
        <x:f>IF(OR($J128="",$J128=0),"",IFERROR($M128/$J128,""))</x:f>
      </x:c>
      <x:c r="O128" s="17">
        <x:f>IF($N128="","",IF($N128&gt;=Params!$B$11,"超额度",IF($N128&gt;=Params!$B$10,"高风险",IF($N128&gt;=Params!$B$9,"预警","正常"))))</x:f>
      </x:c>
    </x:row>
    <x:row r="129">
      <x:c r="A129" s="12" t="n"/>
      <x:c r="B129" s="12" t="n"/>
      <x:c r="C129" s="12" t="n"/>
      <x:c r="D129" s="12" t="n"/>
      <x:c r="E129" s="12" t="n"/>
      <x:c r="F129" s="12" t="n"/>
      <x:c r="G129" s="13" t="n"/>
      <x:c r="H129" s="12" t="n"/>
      <x:c r="I129" s="12" t="n"/>
      <x:c r="J129" s="14" t="n"/>
      <x:c r="K129" s="12" t="n"/>
      <x:c r="L129" s="12" t="n"/>
      <x:c r="M129" s="15">
        <x:f>IF($A129="","",SUMIF(AR!$B$2:$B$201,$A129,AR!$H$2:$H$201))</x:f>
      </x:c>
      <x:c r="N129" s="16">
        <x:f>IF(OR($J129="",$J129=0),"",IFERROR($M129/$J129,""))</x:f>
      </x:c>
      <x:c r="O129" s="17">
        <x:f>IF($N129="","",IF($N129&gt;=Params!$B$11,"超额度",IF($N129&gt;=Params!$B$10,"高风险",IF($N129&gt;=Params!$B$9,"预警","正常"))))</x:f>
      </x:c>
    </x:row>
    <x:row r="130">
      <x:c r="A130" s="12" t="n"/>
      <x:c r="B130" s="12" t="n"/>
      <x:c r="C130" s="12" t="n"/>
      <x:c r="D130" s="12" t="n"/>
      <x:c r="E130" s="12" t="n"/>
      <x:c r="F130" s="12" t="n"/>
      <x:c r="G130" s="13" t="n"/>
      <x:c r="H130" s="12" t="n"/>
      <x:c r="I130" s="12" t="n"/>
      <x:c r="J130" s="14" t="n"/>
      <x:c r="K130" s="12" t="n"/>
      <x:c r="L130" s="12" t="n"/>
      <x:c r="M130" s="15">
        <x:f>IF($A130="","",SUMIF(AR!$B$2:$B$201,$A130,AR!$H$2:$H$201))</x:f>
      </x:c>
      <x:c r="N130" s="16">
        <x:f>IF(OR($J130="",$J130=0),"",IFERROR($M130/$J130,""))</x:f>
      </x:c>
      <x:c r="O130" s="17">
        <x:f>IF($N130="","",IF($N130&gt;=Params!$B$11,"超额度",IF($N130&gt;=Params!$B$10,"高风险",IF($N130&gt;=Params!$B$9,"预警","正常"))))</x:f>
      </x:c>
    </x:row>
    <x:row r="131">
      <x:c r="A131" s="12" t="n"/>
      <x:c r="B131" s="12" t="n"/>
      <x:c r="C131" s="12" t="n"/>
      <x:c r="D131" s="12" t="n"/>
      <x:c r="E131" s="12" t="n"/>
      <x:c r="F131" s="12" t="n"/>
      <x:c r="G131" s="13" t="n"/>
      <x:c r="H131" s="12" t="n"/>
      <x:c r="I131" s="12" t="n"/>
      <x:c r="J131" s="14" t="n"/>
      <x:c r="K131" s="12" t="n"/>
      <x:c r="L131" s="12" t="n"/>
      <x:c r="M131" s="15">
        <x:f>IF($A131="","",SUMIF(AR!$B$2:$B$201,$A131,AR!$H$2:$H$201))</x:f>
      </x:c>
      <x:c r="N131" s="16">
        <x:f>IF(OR($J131="",$J131=0),"",IFERROR($M131/$J131,""))</x:f>
      </x:c>
      <x:c r="O131" s="17">
        <x:f>IF($N131="","",IF($N131&gt;=Params!$B$11,"超额度",IF($N131&gt;=Params!$B$10,"高风险",IF($N131&gt;=Params!$B$9,"预警","正常"))))</x:f>
      </x:c>
    </x:row>
    <x:row r="132">
      <x:c r="A132" s="12" t="n"/>
      <x:c r="B132" s="12" t="n"/>
      <x:c r="C132" s="12" t="n"/>
      <x:c r="D132" s="12" t="n"/>
      <x:c r="E132" s="12" t="n"/>
      <x:c r="F132" s="12" t="n"/>
      <x:c r="G132" s="13" t="n"/>
      <x:c r="H132" s="12" t="n"/>
      <x:c r="I132" s="12" t="n"/>
      <x:c r="J132" s="14" t="n"/>
      <x:c r="K132" s="12" t="n"/>
      <x:c r="L132" s="12" t="n"/>
      <x:c r="M132" s="15">
        <x:f>IF($A132="","",SUMIF(AR!$B$2:$B$201,$A132,AR!$H$2:$H$201))</x:f>
      </x:c>
      <x:c r="N132" s="16">
        <x:f>IF(OR($J132="",$J132=0),"",IFERROR($M132/$J132,""))</x:f>
      </x:c>
      <x:c r="O132" s="17">
        <x:f>IF($N132="","",IF($N132&gt;=Params!$B$11,"超额度",IF($N132&gt;=Params!$B$10,"高风险",IF($N132&gt;=Params!$B$9,"预警","正常"))))</x:f>
      </x:c>
    </x:row>
    <x:row r="133">
      <x:c r="A133" s="12" t="n"/>
      <x:c r="B133" s="12" t="n"/>
      <x:c r="C133" s="12" t="n"/>
      <x:c r="D133" s="12" t="n"/>
      <x:c r="E133" s="12" t="n"/>
      <x:c r="F133" s="12" t="n"/>
      <x:c r="G133" s="13" t="n"/>
      <x:c r="H133" s="12" t="n"/>
      <x:c r="I133" s="12" t="n"/>
      <x:c r="J133" s="14" t="n"/>
      <x:c r="K133" s="12" t="n"/>
      <x:c r="L133" s="12" t="n"/>
      <x:c r="M133" s="15">
        <x:f>IF($A133="","",SUMIF(AR!$B$2:$B$201,$A133,AR!$H$2:$H$201))</x:f>
      </x:c>
      <x:c r="N133" s="16">
        <x:f>IF(OR($J133="",$J133=0),"",IFERROR($M133/$J133,""))</x:f>
      </x:c>
      <x:c r="O133" s="17">
        <x:f>IF($N133="","",IF($N133&gt;=Params!$B$11,"超额度",IF($N133&gt;=Params!$B$10,"高风险",IF($N133&gt;=Params!$B$9,"预警","正常"))))</x:f>
      </x:c>
    </x:row>
    <x:row r="134">
      <x:c r="A134" s="12" t="n"/>
      <x:c r="B134" s="12" t="n"/>
      <x:c r="C134" s="12" t="n"/>
      <x:c r="D134" s="12" t="n"/>
      <x:c r="E134" s="12" t="n"/>
      <x:c r="F134" s="12" t="n"/>
      <x:c r="G134" s="13" t="n"/>
      <x:c r="H134" s="12" t="n"/>
      <x:c r="I134" s="12" t="n"/>
      <x:c r="J134" s="14" t="n"/>
      <x:c r="K134" s="12" t="n"/>
      <x:c r="L134" s="12" t="n"/>
      <x:c r="M134" s="15">
        <x:f>IF($A134="","",SUMIF(AR!$B$2:$B$201,$A134,AR!$H$2:$H$201))</x:f>
      </x:c>
      <x:c r="N134" s="16">
        <x:f>IF(OR($J134="",$J134=0),"",IFERROR($M134/$J134,""))</x:f>
      </x:c>
      <x:c r="O134" s="17">
        <x:f>IF($N134="","",IF($N134&gt;=Params!$B$11,"超额度",IF($N134&gt;=Params!$B$10,"高风险",IF($N134&gt;=Params!$B$9,"预警","正常"))))</x:f>
      </x:c>
    </x:row>
    <x:row r="135">
      <x:c r="A135" s="12" t="n"/>
      <x:c r="B135" s="12" t="n"/>
      <x:c r="C135" s="12" t="n"/>
      <x:c r="D135" s="12" t="n"/>
      <x:c r="E135" s="12" t="n"/>
      <x:c r="F135" s="12" t="n"/>
      <x:c r="G135" s="13" t="n"/>
      <x:c r="H135" s="12" t="n"/>
      <x:c r="I135" s="12" t="n"/>
      <x:c r="J135" s="14" t="n"/>
      <x:c r="K135" s="12" t="n"/>
      <x:c r="L135" s="12" t="n"/>
      <x:c r="M135" s="15">
        <x:f>IF($A135="","",SUMIF(AR!$B$2:$B$201,$A135,AR!$H$2:$H$201))</x:f>
      </x:c>
      <x:c r="N135" s="16">
        <x:f>IF(OR($J135="",$J135=0),"",IFERROR($M135/$J135,""))</x:f>
      </x:c>
      <x:c r="O135" s="17">
        <x:f>IF($N135="","",IF($N135&gt;=Params!$B$11,"超额度",IF($N135&gt;=Params!$B$10,"高风险",IF($N135&gt;=Params!$B$9,"预警","正常"))))</x:f>
      </x:c>
    </x:row>
    <x:row r="136">
      <x:c r="A136" s="12" t="n"/>
      <x:c r="B136" s="12" t="n"/>
      <x:c r="C136" s="12" t="n"/>
      <x:c r="D136" s="12" t="n"/>
      <x:c r="E136" s="12" t="n"/>
      <x:c r="F136" s="12" t="n"/>
      <x:c r="G136" s="13" t="n"/>
      <x:c r="H136" s="12" t="n"/>
      <x:c r="I136" s="12" t="n"/>
      <x:c r="J136" s="14" t="n"/>
      <x:c r="K136" s="12" t="n"/>
      <x:c r="L136" s="12" t="n"/>
      <x:c r="M136" s="15">
        <x:f>IF($A136="","",SUMIF(AR!$B$2:$B$201,$A136,AR!$H$2:$H$201))</x:f>
      </x:c>
      <x:c r="N136" s="16">
        <x:f>IF(OR($J136="",$J136=0),"",IFERROR($M136/$J136,""))</x:f>
      </x:c>
      <x:c r="O136" s="17">
        <x:f>IF($N136="","",IF($N136&gt;=Params!$B$11,"超额度",IF($N136&gt;=Params!$B$10,"高风险",IF($N136&gt;=Params!$B$9,"预警","正常"))))</x:f>
      </x:c>
    </x:row>
    <x:row r="137">
      <x:c r="A137" s="12" t="n"/>
      <x:c r="B137" s="12" t="n"/>
      <x:c r="C137" s="12" t="n"/>
      <x:c r="D137" s="12" t="n"/>
      <x:c r="E137" s="12" t="n"/>
      <x:c r="F137" s="12" t="n"/>
      <x:c r="G137" s="13" t="n"/>
      <x:c r="H137" s="12" t="n"/>
      <x:c r="I137" s="12" t="n"/>
      <x:c r="J137" s="14" t="n"/>
      <x:c r="K137" s="12" t="n"/>
      <x:c r="L137" s="12" t="n"/>
      <x:c r="M137" s="15">
        <x:f>IF($A137="","",SUMIF(AR!$B$2:$B$201,$A137,AR!$H$2:$H$201))</x:f>
      </x:c>
      <x:c r="N137" s="16">
        <x:f>IF(OR($J137="",$J137=0),"",IFERROR($M137/$J137,""))</x:f>
      </x:c>
      <x:c r="O137" s="17">
        <x:f>IF($N137="","",IF($N137&gt;=Params!$B$11,"超额度",IF($N137&gt;=Params!$B$10,"高风险",IF($N137&gt;=Params!$B$9,"预警","正常"))))</x:f>
      </x:c>
    </x:row>
    <x:row r="138">
      <x:c r="A138" s="12" t="n"/>
      <x:c r="B138" s="12" t="n"/>
      <x:c r="C138" s="12" t="n"/>
      <x:c r="D138" s="12" t="n"/>
      <x:c r="E138" s="12" t="n"/>
      <x:c r="F138" s="12" t="n"/>
      <x:c r="G138" s="13" t="n"/>
      <x:c r="H138" s="12" t="n"/>
      <x:c r="I138" s="12" t="n"/>
      <x:c r="J138" s="14" t="n"/>
      <x:c r="K138" s="12" t="n"/>
      <x:c r="L138" s="12" t="n"/>
      <x:c r="M138" s="15">
        <x:f>IF($A138="","",SUMIF(AR!$B$2:$B$201,$A138,AR!$H$2:$H$201))</x:f>
      </x:c>
      <x:c r="N138" s="16">
        <x:f>IF(OR($J138="",$J138=0),"",IFERROR($M138/$J138,""))</x:f>
      </x:c>
      <x:c r="O138" s="17">
        <x:f>IF($N138="","",IF($N138&gt;=Params!$B$11,"超额度",IF($N138&gt;=Params!$B$10,"高风险",IF($N138&gt;=Params!$B$9,"预警","正常"))))</x:f>
      </x:c>
    </x:row>
    <x:row r="139">
      <x:c r="A139" s="12" t="n"/>
      <x:c r="B139" s="12" t="n"/>
      <x:c r="C139" s="12" t="n"/>
      <x:c r="D139" s="12" t="n"/>
      <x:c r="E139" s="12" t="n"/>
      <x:c r="F139" s="12" t="n"/>
      <x:c r="G139" s="13" t="n"/>
      <x:c r="H139" s="12" t="n"/>
      <x:c r="I139" s="12" t="n"/>
      <x:c r="J139" s="14" t="n"/>
      <x:c r="K139" s="12" t="n"/>
      <x:c r="L139" s="12" t="n"/>
      <x:c r="M139" s="15">
        <x:f>IF($A139="","",SUMIF(AR!$B$2:$B$201,$A139,AR!$H$2:$H$201))</x:f>
      </x:c>
      <x:c r="N139" s="16">
        <x:f>IF(OR($J139="",$J139=0),"",IFERROR($M139/$J139,""))</x:f>
      </x:c>
      <x:c r="O139" s="17">
        <x:f>IF($N139="","",IF($N139&gt;=Params!$B$11,"超额度",IF($N139&gt;=Params!$B$10,"高风险",IF($N139&gt;=Params!$B$9,"预警","正常"))))</x:f>
      </x:c>
    </x:row>
    <x:row r="140">
      <x:c r="A140" s="12" t="n"/>
      <x:c r="B140" s="12" t="n"/>
      <x:c r="C140" s="12" t="n"/>
      <x:c r="D140" s="12" t="n"/>
      <x:c r="E140" s="12" t="n"/>
      <x:c r="F140" s="12" t="n"/>
      <x:c r="G140" s="13" t="n"/>
      <x:c r="H140" s="12" t="n"/>
      <x:c r="I140" s="12" t="n"/>
      <x:c r="J140" s="14" t="n"/>
      <x:c r="K140" s="12" t="n"/>
      <x:c r="L140" s="12" t="n"/>
      <x:c r="M140" s="15">
        <x:f>IF($A140="","",SUMIF(AR!$B$2:$B$201,$A140,AR!$H$2:$H$201))</x:f>
      </x:c>
      <x:c r="N140" s="16">
        <x:f>IF(OR($J140="",$J140=0),"",IFERROR($M140/$J140,""))</x:f>
      </x:c>
      <x:c r="O140" s="17">
        <x:f>IF($N140="","",IF($N140&gt;=Params!$B$11,"超额度",IF($N140&gt;=Params!$B$10,"高风险",IF($N140&gt;=Params!$B$9,"预警","正常"))))</x:f>
      </x:c>
    </x:row>
    <x:row r="141">
      <x:c r="A141" s="12" t="n"/>
      <x:c r="B141" s="12" t="n"/>
      <x:c r="C141" s="12" t="n"/>
      <x:c r="D141" s="12" t="n"/>
      <x:c r="E141" s="12" t="n"/>
      <x:c r="F141" s="12" t="n"/>
      <x:c r="G141" s="13" t="n"/>
      <x:c r="H141" s="12" t="n"/>
      <x:c r="I141" s="12" t="n"/>
      <x:c r="J141" s="14" t="n"/>
      <x:c r="K141" s="12" t="n"/>
      <x:c r="L141" s="12" t="n"/>
      <x:c r="M141" s="15">
        <x:f>IF($A141="","",SUMIF(AR!$B$2:$B$201,$A141,AR!$H$2:$H$201))</x:f>
      </x:c>
      <x:c r="N141" s="16">
        <x:f>IF(OR($J141="",$J141=0),"",IFERROR($M141/$J141,""))</x:f>
      </x:c>
      <x:c r="O141" s="17">
        <x:f>IF($N141="","",IF($N141&gt;=Params!$B$11,"超额度",IF($N141&gt;=Params!$B$10,"高风险",IF($N141&gt;=Params!$B$9,"预警","正常"))))</x:f>
      </x:c>
    </x:row>
    <x:row r="142">
      <x:c r="A142" s="12" t="n"/>
      <x:c r="B142" s="12" t="n"/>
      <x:c r="C142" s="12" t="n"/>
      <x:c r="D142" s="12" t="n"/>
      <x:c r="E142" s="12" t="n"/>
      <x:c r="F142" s="12" t="n"/>
      <x:c r="G142" s="13" t="n"/>
      <x:c r="H142" s="12" t="n"/>
      <x:c r="I142" s="12" t="n"/>
      <x:c r="J142" s="14" t="n"/>
      <x:c r="K142" s="12" t="n"/>
      <x:c r="L142" s="12" t="n"/>
      <x:c r="M142" s="15">
        <x:f>IF($A142="","",SUMIF(AR!$B$2:$B$201,$A142,AR!$H$2:$H$201))</x:f>
      </x:c>
      <x:c r="N142" s="16">
        <x:f>IF(OR($J142="",$J142=0),"",IFERROR($M142/$J142,""))</x:f>
      </x:c>
      <x:c r="O142" s="17">
        <x:f>IF($N142="","",IF($N142&gt;=Params!$B$11,"超额度",IF($N142&gt;=Params!$B$10,"高风险",IF($N142&gt;=Params!$B$9,"预警","正常"))))</x:f>
      </x:c>
    </x:row>
    <x:row r="143">
      <x:c r="A143" s="12" t="n"/>
      <x:c r="B143" s="12" t="n"/>
      <x:c r="C143" s="12" t="n"/>
      <x:c r="D143" s="12" t="n"/>
      <x:c r="E143" s="12" t="n"/>
      <x:c r="F143" s="12" t="n"/>
      <x:c r="G143" s="13" t="n"/>
      <x:c r="H143" s="12" t="n"/>
      <x:c r="I143" s="12" t="n"/>
      <x:c r="J143" s="14" t="n"/>
      <x:c r="K143" s="12" t="n"/>
      <x:c r="L143" s="12" t="n"/>
      <x:c r="M143" s="15">
        <x:f>IF($A143="","",SUMIF(AR!$B$2:$B$201,$A143,AR!$H$2:$H$201))</x:f>
      </x:c>
      <x:c r="N143" s="16">
        <x:f>IF(OR($J143="",$J143=0),"",IFERROR($M143/$J143,""))</x:f>
      </x:c>
      <x:c r="O143" s="17">
        <x:f>IF($N143="","",IF($N143&gt;=Params!$B$11,"超额度",IF($N143&gt;=Params!$B$10,"高风险",IF($N143&gt;=Params!$B$9,"预警","正常"))))</x:f>
      </x:c>
    </x:row>
    <x:row r="144">
      <x:c r="A144" s="12" t="n"/>
      <x:c r="B144" s="12" t="n"/>
      <x:c r="C144" s="12" t="n"/>
      <x:c r="D144" s="12" t="n"/>
      <x:c r="E144" s="12" t="n"/>
      <x:c r="F144" s="12" t="n"/>
      <x:c r="G144" s="13" t="n"/>
      <x:c r="H144" s="12" t="n"/>
      <x:c r="I144" s="12" t="n"/>
      <x:c r="J144" s="14" t="n"/>
      <x:c r="K144" s="12" t="n"/>
      <x:c r="L144" s="12" t="n"/>
      <x:c r="M144" s="15">
        <x:f>IF($A144="","",SUMIF(AR!$B$2:$B$201,$A144,AR!$H$2:$H$201))</x:f>
      </x:c>
      <x:c r="N144" s="16">
        <x:f>IF(OR($J144="",$J144=0),"",IFERROR($M144/$J144,""))</x:f>
      </x:c>
      <x:c r="O144" s="17">
        <x:f>IF($N144="","",IF($N144&gt;=Params!$B$11,"超额度",IF($N144&gt;=Params!$B$10,"高风险",IF($N144&gt;=Params!$B$9,"预警","正常"))))</x:f>
      </x:c>
    </x:row>
    <x:row r="145">
      <x:c r="A145" s="12" t="n"/>
      <x:c r="B145" s="12" t="n"/>
      <x:c r="C145" s="12" t="n"/>
      <x:c r="D145" s="12" t="n"/>
      <x:c r="E145" s="12" t="n"/>
      <x:c r="F145" s="12" t="n"/>
      <x:c r="G145" s="13" t="n"/>
      <x:c r="H145" s="12" t="n"/>
      <x:c r="I145" s="12" t="n"/>
      <x:c r="J145" s="14" t="n"/>
      <x:c r="K145" s="12" t="n"/>
      <x:c r="L145" s="12" t="n"/>
      <x:c r="M145" s="15">
        <x:f>IF($A145="","",SUMIF(AR!$B$2:$B$201,$A145,AR!$H$2:$H$201))</x:f>
      </x:c>
      <x:c r="N145" s="16">
        <x:f>IF(OR($J145="",$J145=0),"",IFERROR($M145/$J145,""))</x:f>
      </x:c>
      <x:c r="O145" s="17">
        <x:f>IF($N145="","",IF($N145&gt;=Params!$B$11,"超额度",IF($N145&gt;=Params!$B$10,"高风险",IF($N145&gt;=Params!$B$9,"预警","正常"))))</x:f>
      </x:c>
    </x:row>
    <x:row r="146">
      <x:c r="A146" s="12" t="n"/>
      <x:c r="B146" s="12" t="n"/>
      <x:c r="C146" s="12" t="n"/>
      <x:c r="D146" s="12" t="n"/>
      <x:c r="E146" s="12" t="n"/>
      <x:c r="F146" s="12" t="n"/>
      <x:c r="G146" s="13" t="n"/>
      <x:c r="H146" s="12" t="n"/>
      <x:c r="I146" s="12" t="n"/>
      <x:c r="J146" s="14" t="n"/>
      <x:c r="K146" s="12" t="n"/>
      <x:c r="L146" s="12" t="n"/>
      <x:c r="M146" s="15">
        <x:f>IF($A146="","",SUMIF(AR!$B$2:$B$201,$A146,AR!$H$2:$H$201))</x:f>
      </x:c>
      <x:c r="N146" s="16">
        <x:f>IF(OR($J146="",$J146=0),"",IFERROR($M146/$J146,""))</x:f>
      </x:c>
      <x:c r="O146" s="17">
        <x:f>IF($N146="","",IF($N146&gt;=Params!$B$11,"超额度",IF($N146&gt;=Params!$B$10,"高风险",IF($N146&gt;=Params!$B$9,"预警","正常"))))</x:f>
      </x:c>
    </x:row>
    <x:row r="147">
      <x:c r="A147" s="12" t="n"/>
      <x:c r="B147" s="12" t="n"/>
      <x:c r="C147" s="12" t="n"/>
      <x:c r="D147" s="12" t="n"/>
      <x:c r="E147" s="12" t="n"/>
      <x:c r="F147" s="12" t="n"/>
      <x:c r="G147" s="13" t="n"/>
      <x:c r="H147" s="12" t="n"/>
      <x:c r="I147" s="12" t="n"/>
      <x:c r="J147" s="14" t="n"/>
      <x:c r="K147" s="12" t="n"/>
      <x:c r="L147" s="12" t="n"/>
      <x:c r="M147" s="15">
        <x:f>IF($A147="","",SUMIF(AR!$B$2:$B$201,$A147,AR!$H$2:$H$201))</x:f>
      </x:c>
      <x:c r="N147" s="16">
        <x:f>IF(OR($J147="",$J147=0),"",IFERROR($M147/$J147,""))</x:f>
      </x:c>
      <x:c r="O147" s="17">
        <x:f>IF($N147="","",IF($N147&gt;=Params!$B$11,"超额度",IF($N147&gt;=Params!$B$10,"高风险",IF($N147&gt;=Params!$B$9,"预警","正常"))))</x:f>
      </x:c>
    </x:row>
    <x:row r="148">
      <x:c r="A148" s="12" t="n"/>
      <x:c r="B148" s="12" t="n"/>
      <x:c r="C148" s="12" t="n"/>
      <x:c r="D148" s="12" t="n"/>
      <x:c r="E148" s="12" t="n"/>
      <x:c r="F148" s="12" t="n"/>
      <x:c r="G148" s="13" t="n"/>
      <x:c r="H148" s="12" t="n"/>
      <x:c r="I148" s="12" t="n"/>
      <x:c r="J148" s="14" t="n"/>
      <x:c r="K148" s="12" t="n"/>
      <x:c r="L148" s="12" t="n"/>
      <x:c r="M148" s="15">
        <x:f>IF($A148="","",SUMIF(AR!$B$2:$B$201,$A148,AR!$H$2:$H$201))</x:f>
      </x:c>
      <x:c r="N148" s="16">
        <x:f>IF(OR($J148="",$J148=0),"",IFERROR($M148/$J148,""))</x:f>
      </x:c>
      <x:c r="O148" s="17">
        <x:f>IF($N148="","",IF($N148&gt;=Params!$B$11,"超额度",IF($N148&gt;=Params!$B$10,"高风险",IF($N148&gt;=Params!$B$9,"预警","正常"))))</x:f>
      </x:c>
    </x:row>
    <x:row r="149">
      <x:c r="A149" s="12" t="n"/>
      <x:c r="B149" s="12" t="n"/>
      <x:c r="C149" s="12" t="n"/>
      <x:c r="D149" s="12" t="n"/>
      <x:c r="E149" s="12" t="n"/>
      <x:c r="F149" s="12" t="n"/>
      <x:c r="G149" s="13" t="n"/>
      <x:c r="H149" s="12" t="n"/>
      <x:c r="I149" s="12" t="n"/>
      <x:c r="J149" s="14" t="n"/>
      <x:c r="K149" s="12" t="n"/>
      <x:c r="L149" s="12" t="n"/>
      <x:c r="M149" s="15">
        <x:f>IF($A149="","",SUMIF(AR!$B$2:$B$201,$A149,AR!$H$2:$H$201))</x:f>
      </x:c>
      <x:c r="N149" s="16">
        <x:f>IF(OR($J149="",$J149=0),"",IFERROR($M149/$J149,""))</x:f>
      </x:c>
      <x:c r="O149" s="17">
        <x:f>IF($N149="","",IF($N149&gt;=Params!$B$11,"超额度",IF($N149&gt;=Params!$B$10,"高风险",IF($N149&gt;=Params!$B$9,"预警","正常"))))</x:f>
      </x:c>
    </x:row>
    <x:row r="150">
      <x:c r="A150" s="12" t="n"/>
      <x:c r="B150" s="12" t="n"/>
      <x:c r="C150" s="12" t="n"/>
      <x:c r="D150" s="12" t="n"/>
      <x:c r="E150" s="12" t="n"/>
      <x:c r="F150" s="12" t="n"/>
      <x:c r="G150" s="13" t="n"/>
      <x:c r="H150" s="12" t="n"/>
      <x:c r="I150" s="12" t="n"/>
      <x:c r="J150" s="14" t="n"/>
      <x:c r="K150" s="12" t="n"/>
      <x:c r="L150" s="12" t="n"/>
      <x:c r="M150" s="15">
        <x:f>IF($A150="","",SUMIF(AR!$B$2:$B$201,$A150,AR!$H$2:$H$201))</x:f>
      </x:c>
      <x:c r="N150" s="16">
        <x:f>IF(OR($J150="",$J150=0),"",IFERROR($M150/$J150,""))</x:f>
      </x:c>
      <x:c r="O150" s="17">
        <x:f>IF($N150="","",IF($N150&gt;=Params!$B$11,"超额度",IF($N150&gt;=Params!$B$10,"高风险",IF($N150&gt;=Params!$B$9,"预警","正常"))))</x:f>
      </x:c>
    </x:row>
    <x:row r="151">
      <x:c r="A151" s="12" t="n"/>
      <x:c r="B151" s="12" t="n"/>
      <x:c r="C151" s="12" t="n"/>
      <x:c r="D151" s="12" t="n"/>
      <x:c r="E151" s="12" t="n"/>
      <x:c r="F151" s="12" t="n"/>
      <x:c r="G151" s="13" t="n"/>
      <x:c r="H151" s="12" t="n"/>
      <x:c r="I151" s="12" t="n"/>
      <x:c r="J151" s="14" t="n"/>
      <x:c r="K151" s="12" t="n"/>
      <x:c r="L151" s="12" t="n"/>
      <x:c r="M151" s="15">
        <x:f>IF($A151="","",SUMIF(AR!$B$2:$B$201,$A151,AR!$H$2:$H$201))</x:f>
      </x:c>
      <x:c r="N151" s="16">
        <x:f>IF(OR($J151="",$J151=0),"",IFERROR($M151/$J151,""))</x:f>
      </x:c>
      <x:c r="O151" s="17">
        <x:f>IF($N151="","",IF($N151&gt;=Params!$B$11,"超额度",IF($N151&gt;=Params!$B$10,"高风险",IF($N151&gt;=Params!$B$9,"预警","正常"))))</x:f>
      </x:c>
    </x:row>
    <x:row r="152">
      <x:c r="A152" s="12" t="n"/>
      <x:c r="B152" s="12" t="n"/>
      <x:c r="C152" s="12" t="n"/>
      <x:c r="D152" s="12" t="n"/>
      <x:c r="E152" s="12" t="n"/>
      <x:c r="F152" s="12" t="n"/>
      <x:c r="G152" s="13" t="n"/>
      <x:c r="H152" s="12" t="n"/>
      <x:c r="I152" s="12" t="n"/>
      <x:c r="J152" s="14" t="n"/>
      <x:c r="K152" s="12" t="n"/>
      <x:c r="L152" s="12" t="n"/>
      <x:c r="M152" s="15">
        <x:f>IF($A152="","",SUMIF(AR!$B$2:$B$201,$A152,AR!$H$2:$H$201))</x:f>
      </x:c>
      <x:c r="N152" s="16">
        <x:f>IF(OR($J152="",$J152=0),"",IFERROR($M152/$J152,""))</x:f>
      </x:c>
      <x:c r="O152" s="17">
        <x:f>IF($N152="","",IF($N152&gt;=Params!$B$11,"超额度",IF($N152&gt;=Params!$B$10,"高风险",IF($N152&gt;=Params!$B$9,"预警","正常"))))</x:f>
      </x:c>
    </x:row>
    <x:row r="153">
      <x:c r="A153" s="12" t="n"/>
      <x:c r="B153" s="12" t="n"/>
      <x:c r="C153" s="12" t="n"/>
      <x:c r="D153" s="12" t="n"/>
      <x:c r="E153" s="12" t="n"/>
      <x:c r="F153" s="12" t="n"/>
      <x:c r="G153" s="13" t="n"/>
      <x:c r="H153" s="12" t="n"/>
      <x:c r="I153" s="12" t="n"/>
      <x:c r="J153" s="14" t="n"/>
      <x:c r="K153" s="12" t="n"/>
      <x:c r="L153" s="12" t="n"/>
      <x:c r="M153" s="15">
        <x:f>IF($A153="","",SUMIF(AR!$B$2:$B$201,$A153,AR!$H$2:$H$201))</x:f>
      </x:c>
      <x:c r="N153" s="16">
        <x:f>IF(OR($J153="",$J153=0),"",IFERROR($M153/$J153,""))</x:f>
      </x:c>
      <x:c r="O153" s="17">
        <x:f>IF($N153="","",IF($N153&gt;=Params!$B$11,"超额度",IF($N153&gt;=Params!$B$10,"高风险",IF($N153&gt;=Params!$B$9,"预警","正常"))))</x:f>
      </x:c>
    </x:row>
    <x:row r="154">
      <x:c r="A154" s="12" t="n"/>
      <x:c r="B154" s="12" t="n"/>
      <x:c r="C154" s="12" t="n"/>
      <x:c r="D154" s="12" t="n"/>
      <x:c r="E154" s="12" t="n"/>
      <x:c r="F154" s="12" t="n"/>
      <x:c r="G154" s="13" t="n"/>
      <x:c r="H154" s="12" t="n"/>
      <x:c r="I154" s="12" t="n"/>
      <x:c r="J154" s="14" t="n"/>
      <x:c r="K154" s="12" t="n"/>
      <x:c r="L154" s="12" t="n"/>
      <x:c r="M154" s="15">
        <x:f>IF($A154="","",SUMIF(AR!$B$2:$B$201,$A154,AR!$H$2:$H$201))</x:f>
      </x:c>
      <x:c r="N154" s="16">
        <x:f>IF(OR($J154="",$J154=0),"",IFERROR($M154/$J154,""))</x:f>
      </x:c>
      <x:c r="O154" s="17">
        <x:f>IF($N154="","",IF($N154&gt;=Params!$B$11,"超额度",IF($N154&gt;=Params!$B$10,"高风险",IF($N154&gt;=Params!$B$9,"预警","正常"))))</x:f>
      </x:c>
    </x:row>
    <x:row r="155">
      <x:c r="A155" s="12" t="n"/>
      <x:c r="B155" s="12" t="n"/>
      <x:c r="C155" s="12" t="n"/>
      <x:c r="D155" s="12" t="n"/>
      <x:c r="E155" s="12" t="n"/>
      <x:c r="F155" s="12" t="n"/>
      <x:c r="G155" s="13" t="n"/>
      <x:c r="H155" s="12" t="n"/>
      <x:c r="I155" s="12" t="n"/>
      <x:c r="J155" s="14" t="n"/>
      <x:c r="K155" s="12" t="n"/>
      <x:c r="L155" s="12" t="n"/>
      <x:c r="M155" s="15">
        <x:f>IF($A155="","",SUMIF(AR!$B$2:$B$201,$A155,AR!$H$2:$H$201))</x:f>
      </x:c>
      <x:c r="N155" s="16">
        <x:f>IF(OR($J155="",$J155=0),"",IFERROR($M155/$J155,""))</x:f>
      </x:c>
      <x:c r="O155" s="17">
        <x:f>IF($N155="","",IF($N155&gt;=Params!$B$11,"超额度",IF($N155&gt;=Params!$B$10,"高风险",IF($N155&gt;=Params!$B$9,"预警","正常"))))</x:f>
      </x:c>
    </x:row>
    <x:row r="156">
      <x:c r="A156" s="12" t="n"/>
      <x:c r="B156" s="12" t="n"/>
      <x:c r="C156" s="12" t="n"/>
      <x:c r="D156" s="12" t="n"/>
      <x:c r="E156" s="12" t="n"/>
      <x:c r="F156" s="12" t="n"/>
      <x:c r="G156" s="13" t="n"/>
      <x:c r="H156" s="12" t="n"/>
      <x:c r="I156" s="12" t="n"/>
      <x:c r="J156" s="14" t="n"/>
      <x:c r="K156" s="12" t="n"/>
      <x:c r="L156" s="12" t="n"/>
      <x:c r="M156" s="15">
        <x:f>IF($A156="","",SUMIF(AR!$B$2:$B$201,$A156,AR!$H$2:$H$201))</x:f>
      </x:c>
      <x:c r="N156" s="16">
        <x:f>IF(OR($J156="",$J156=0),"",IFERROR($M156/$J156,""))</x:f>
      </x:c>
      <x:c r="O156" s="17">
        <x:f>IF($N156="","",IF($N156&gt;=Params!$B$11,"超额度",IF($N156&gt;=Params!$B$10,"高风险",IF($N156&gt;=Params!$B$9,"预警","正常"))))</x:f>
      </x:c>
    </x:row>
    <x:row r="157">
      <x:c r="A157" s="12" t="n"/>
      <x:c r="B157" s="12" t="n"/>
      <x:c r="C157" s="12" t="n"/>
      <x:c r="D157" s="12" t="n"/>
      <x:c r="E157" s="12" t="n"/>
      <x:c r="F157" s="12" t="n"/>
      <x:c r="G157" s="13" t="n"/>
      <x:c r="H157" s="12" t="n"/>
      <x:c r="I157" s="12" t="n"/>
      <x:c r="J157" s="14" t="n"/>
      <x:c r="K157" s="12" t="n"/>
      <x:c r="L157" s="12" t="n"/>
      <x:c r="M157" s="15">
        <x:f>IF($A157="","",SUMIF(AR!$B$2:$B$201,$A157,AR!$H$2:$H$201))</x:f>
      </x:c>
      <x:c r="N157" s="16">
        <x:f>IF(OR($J157="",$J157=0),"",IFERROR($M157/$J157,""))</x:f>
      </x:c>
      <x:c r="O157" s="17">
        <x:f>IF($N157="","",IF($N157&gt;=Params!$B$11,"超额度",IF($N157&gt;=Params!$B$10,"高风险",IF($N157&gt;=Params!$B$9,"预警","正常"))))</x:f>
      </x:c>
    </x:row>
    <x:row r="158">
      <x:c r="A158" s="12" t="n"/>
      <x:c r="B158" s="12" t="n"/>
      <x:c r="C158" s="12" t="n"/>
      <x:c r="D158" s="12" t="n"/>
      <x:c r="E158" s="12" t="n"/>
      <x:c r="F158" s="12" t="n"/>
      <x:c r="G158" s="13" t="n"/>
      <x:c r="H158" s="12" t="n"/>
      <x:c r="I158" s="12" t="n"/>
      <x:c r="J158" s="14" t="n"/>
      <x:c r="K158" s="12" t="n"/>
      <x:c r="L158" s="12" t="n"/>
      <x:c r="M158" s="15">
        <x:f>IF($A158="","",SUMIF(AR!$B$2:$B$201,$A158,AR!$H$2:$H$201))</x:f>
      </x:c>
      <x:c r="N158" s="16">
        <x:f>IF(OR($J158="",$J158=0),"",IFERROR($M158/$J158,""))</x:f>
      </x:c>
      <x:c r="O158" s="17">
        <x:f>IF($N158="","",IF($N158&gt;=Params!$B$11,"超额度",IF($N158&gt;=Params!$B$10,"高风险",IF($N158&gt;=Params!$B$9,"预警","正常"))))</x:f>
      </x:c>
    </x:row>
    <x:row r="159">
      <x:c r="A159" s="12" t="n"/>
      <x:c r="B159" s="12" t="n"/>
      <x:c r="C159" s="12" t="n"/>
      <x:c r="D159" s="12" t="n"/>
      <x:c r="E159" s="12" t="n"/>
      <x:c r="F159" s="12" t="n"/>
      <x:c r="G159" s="13" t="n"/>
      <x:c r="H159" s="12" t="n"/>
      <x:c r="I159" s="12" t="n"/>
      <x:c r="J159" s="14" t="n"/>
      <x:c r="K159" s="12" t="n"/>
      <x:c r="L159" s="12" t="n"/>
      <x:c r="M159" s="15">
        <x:f>IF($A159="","",SUMIF(AR!$B$2:$B$201,$A159,AR!$H$2:$H$201))</x:f>
      </x:c>
      <x:c r="N159" s="16">
        <x:f>IF(OR($J159="",$J159=0),"",IFERROR($M159/$J159,""))</x:f>
      </x:c>
      <x:c r="O159" s="17">
        <x:f>IF($N159="","",IF($N159&gt;=Params!$B$11,"超额度",IF($N159&gt;=Params!$B$10,"高风险",IF($N159&gt;=Params!$B$9,"预警","正常"))))</x:f>
      </x:c>
    </x:row>
    <x:row r="160">
      <x:c r="A160" s="12" t="n"/>
      <x:c r="B160" s="12" t="n"/>
      <x:c r="C160" s="12" t="n"/>
      <x:c r="D160" s="12" t="n"/>
      <x:c r="E160" s="12" t="n"/>
      <x:c r="F160" s="12" t="n"/>
      <x:c r="G160" s="13" t="n"/>
      <x:c r="H160" s="12" t="n"/>
      <x:c r="I160" s="12" t="n"/>
      <x:c r="J160" s="14" t="n"/>
      <x:c r="K160" s="12" t="n"/>
      <x:c r="L160" s="12" t="n"/>
      <x:c r="M160" s="15">
        <x:f>IF($A160="","",SUMIF(AR!$B$2:$B$201,$A160,AR!$H$2:$H$201))</x:f>
      </x:c>
      <x:c r="N160" s="16">
        <x:f>IF(OR($J160="",$J160=0),"",IFERROR($M160/$J160,""))</x:f>
      </x:c>
      <x:c r="O160" s="17">
        <x:f>IF($N160="","",IF($N160&gt;=Params!$B$11,"超额度",IF($N160&gt;=Params!$B$10,"高风险",IF($N160&gt;=Params!$B$9,"预警","正常"))))</x:f>
      </x:c>
    </x:row>
    <x:row r="161">
      <x:c r="A161" s="12" t="n"/>
      <x:c r="B161" s="12" t="n"/>
      <x:c r="C161" s="12" t="n"/>
      <x:c r="D161" s="12" t="n"/>
      <x:c r="E161" s="12" t="n"/>
      <x:c r="F161" s="12" t="n"/>
      <x:c r="G161" s="13" t="n"/>
      <x:c r="H161" s="12" t="n"/>
      <x:c r="I161" s="12" t="n"/>
      <x:c r="J161" s="14" t="n"/>
      <x:c r="K161" s="12" t="n"/>
      <x:c r="L161" s="12" t="n"/>
      <x:c r="M161" s="15">
        <x:f>IF($A161="","",SUMIF(AR!$B$2:$B$201,$A161,AR!$H$2:$H$201))</x:f>
      </x:c>
      <x:c r="N161" s="16">
        <x:f>IF(OR($J161="",$J161=0),"",IFERROR($M161/$J161,""))</x:f>
      </x:c>
      <x:c r="O161" s="17">
        <x:f>IF($N161="","",IF($N161&gt;=Params!$B$11,"超额度",IF($N161&gt;=Params!$B$10,"高风险",IF($N161&gt;=Params!$B$9,"预警","正常"))))</x:f>
      </x:c>
    </x:row>
    <x:row r="162">
      <x:c r="A162" s="12" t="n"/>
      <x:c r="B162" s="12" t="n"/>
      <x:c r="C162" s="12" t="n"/>
      <x:c r="D162" s="12" t="n"/>
      <x:c r="E162" s="12" t="n"/>
      <x:c r="F162" s="12" t="n"/>
      <x:c r="G162" s="13" t="n"/>
      <x:c r="H162" s="12" t="n"/>
      <x:c r="I162" s="12" t="n"/>
      <x:c r="J162" s="14" t="n"/>
      <x:c r="K162" s="12" t="n"/>
      <x:c r="L162" s="12" t="n"/>
      <x:c r="M162" s="15">
        <x:f>IF($A162="","",SUMIF(AR!$B$2:$B$201,$A162,AR!$H$2:$H$201))</x:f>
      </x:c>
      <x:c r="N162" s="16">
        <x:f>IF(OR($J162="",$J162=0),"",IFERROR($M162/$J162,""))</x:f>
      </x:c>
      <x:c r="O162" s="17">
        <x:f>IF($N162="","",IF($N162&gt;=Params!$B$11,"超额度",IF($N162&gt;=Params!$B$10,"高风险",IF($N162&gt;=Params!$B$9,"预警","正常"))))</x:f>
      </x:c>
    </x:row>
    <x:row r="163">
      <x:c r="A163" s="12" t="n"/>
      <x:c r="B163" s="12" t="n"/>
      <x:c r="C163" s="12" t="n"/>
      <x:c r="D163" s="12" t="n"/>
      <x:c r="E163" s="12" t="n"/>
      <x:c r="F163" s="12" t="n"/>
      <x:c r="G163" s="13" t="n"/>
      <x:c r="H163" s="12" t="n"/>
      <x:c r="I163" s="12" t="n"/>
      <x:c r="J163" s="14" t="n"/>
      <x:c r="K163" s="12" t="n"/>
      <x:c r="L163" s="12" t="n"/>
      <x:c r="M163" s="15">
        <x:f>IF($A163="","",SUMIF(AR!$B$2:$B$201,$A163,AR!$H$2:$H$201))</x:f>
      </x:c>
      <x:c r="N163" s="16">
        <x:f>IF(OR($J163="",$J163=0),"",IFERROR($M163/$J163,""))</x:f>
      </x:c>
      <x:c r="O163" s="17">
        <x:f>IF($N163="","",IF($N163&gt;=Params!$B$11,"超额度",IF($N163&gt;=Params!$B$10,"高风险",IF($N163&gt;=Params!$B$9,"预警","正常"))))</x:f>
      </x:c>
    </x:row>
    <x:row r="164">
      <x:c r="A164" s="12" t="n"/>
      <x:c r="B164" s="12" t="n"/>
      <x:c r="C164" s="12" t="n"/>
      <x:c r="D164" s="12" t="n"/>
      <x:c r="E164" s="12" t="n"/>
      <x:c r="F164" s="12" t="n"/>
      <x:c r="G164" s="13" t="n"/>
      <x:c r="H164" s="12" t="n"/>
      <x:c r="I164" s="12" t="n"/>
      <x:c r="J164" s="14" t="n"/>
      <x:c r="K164" s="12" t="n"/>
      <x:c r="L164" s="12" t="n"/>
      <x:c r="M164" s="15">
        <x:f>IF($A164="","",SUMIF(AR!$B$2:$B$201,$A164,AR!$H$2:$H$201))</x:f>
      </x:c>
      <x:c r="N164" s="16">
        <x:f>IF(OR($J164="",$J164=0),"",IFERROR($M164/$J164,""))</x:f>
      </x:c>
      <x:c r="O164" s="17">
        <x:f>IF($N164="","",IF($N164&gt;=Params!$B$11,"超额度",IF($N164&gt;=Params!$B$10,"高风险",IF($N164&gt;=Params!$B$9,"预警","正常"))))</x:f>
      </x:c>
    </x:row>
    <x:row r="165">
      <x:c r="A165" s="12" t="n"/>
      <x:c r="B165" s="12" t="n"/>
      <x:c r="C165" s="12" t="n"/>
      <x:c r="D165" s="12" t="n"/>
      <x:c r="E165" s="12" t="n"/>
      <x:c r="F165" s="12" t="n"/>
      <x:c r="G165" s="13" t="n"/>
      <x:c r="H165" s="12" t="n"/>
      <x:c r="I165" s="12" t="n"/>
      <x:c r="J165" s="14" t="n"/>
      <x:c r="K165" s="12" t="n"/>
      <x:c r="L165" s="12" t="n"/>
      <x:c r="M165" s="15">
        <x:f>IF($A165="","",SUMIF(AR!$B$2:$B$201,$A165,AR!$H$2:$H$201))</x:f>
      </x:c>
      <x:c r="N165" s="16">
        <x:f>IF(OR($J165="",$J165=0),"",IFERROR($M165/$J165,""))</x:f>
      </x:c>
      <x:c r="O165" s="17">
        <x:f>IF($N165="","",IF($N165&gt;=Params!$B$11,"超额度",IF($N165&gt;=Params!$B$10,"高风险",IF($N165&gt;=Params!$B$9,"预警","正常"))))</x:f>
      </x:c>
    </x:row>
    <x:row r="166">
      <x:c r="A166" s="12" t="n"/>
      <x:c r="B166" s="12" t="n"/>
      <x:c r="C166" s="12" t="n"/>
      <x:c r="D166" s="12" t="n"/>
      <x:c r="E166" s="12" t="n"/>
      <x:c r="F166" s="12" t="n"/>
      <x:c r="G166" s="13" t="n"/>
      <x:c r="H166" s="12" t="n"/>
      <x:c r="I166" s="12" t="n"/>
      <x:c r="J166" s="14" t="n"/>
      <x:c r="K166" s="12" t="n"/>
      <x:c r="L166" s="12" t="n"/>
      <x:c r="M166" s="15">
        <x:f>IF($A166="","",SUMIF(AR!$B$2:$B$201,$A166,AR!$H$2:$H$201))</x:f>
      </x:c>
      <x:c r="N166" s="16">
        <x:f>IF(OR($J166="",$J166=0),"",IFERROR($M166/$J166,""))</x:f>
      </x:c>
      <x:c r="O166" s="17">
        <x:f>IF($N166="","",IF($N166&gt;=Params!$B$11,"超额度",IF($N166&gt;=Params!$B$10,"高风险",IF($N166&gt;=Params!$B$9,"预警","正常"))))</x:f>
      </x:c>
    </x:row>
    <x:row r="167">
      <x:c r="A167" s="12" t="n"/>
      <x:c r="B167" s="12" t="n"/>
      <x:c r="C167" s="12" t="n"/>
      <x:c r="D167" s="12" t="n"/>
      <x:c r="E167" s="12" t="n"/>
      <x:c r="F167" s="12" t="n"/>
      <x:c r="G167" s="13" t="n"/>
      <x:c r="H167" s="12" t="n"/>
      <x:c r="I167" s="12" t="n"/>
      <x:c r="J167" s="14" t="n"/>
      <x:c r="K167" s="12" t="n"/>
      <x:c r="L167" s="12" t="n"/>
      <x:c r="M167" s="15">
        <x:f>IF($A167="","",SUMIF(AR!$B$2:$B$201,$A167,AR!$H$2:$H$201))</x:f>
      </x:c>
      <x:c r="N167" s="16">
        <x:f>IF(OR($J167="",$J167=0),"",IFERROR($M167/$J167,""))</x:f>
      </x:c>
      <x:c r="O167" s="17">
        <x:f>IF($N167="","",IF($N167&gt;=Params!$B$11,"超额度",IF($N167&gt;=Params!$B$10,"高风险",IF($N167&gt;=Params!$B$9,"预警","正常"))))</x:f>
      </x:c>
    </x:row>
    <x:row r="168">
      <x:c r="A168" s="12" t="n"/>
      <x:c r="B168" s="12" t="n"/>
      <x:c r="C168" s="12" t="n"/>
      <x:c r="D168" s="12" t="n"/>
      <x:c r="E168" s="12" t="n"/>
      <x:c r="F168" s="12" t="n"/>
      <x:c r="G168" s="13" t="n"/>
      <x:c r="H168" s="12" t="n"/>
      <x:c r="I168" s="12" t="n"/>
      <x:c r="J168" s="14" t="n"/>
      <x:c r="K168" s="12" t="n"/>
      <x:c r="L168" s="12" t="n"/>
      <x:c r="M168" s="15">
        <x:f>IF($A168="","",SUMIF(AR!$B$2:$B$201,$A168,AR!$H$2:$H$201))</x:f>
      </x:c>
      <x:c r="N168" s="16">
        <x:f>IF(OR($J168="",$J168=0),"",IFERROR($M168/$J168,""))</x:f>
      </x:c>
      <x:c r="O168" s="17">
        <x:f>IF($N168="","",IF($N168&gt;=Params!$B$11,"超额度",IF($N168&gt;=Params!$B$10,"高风险",IF($N168&gt;=Params!$B$9,"预警","正常"))))</x:f>
      </x:c>
    </x:row>
    <x:row r="169">
      <x:c r="A169" s="12" t="n"/>
      <x:c r="B169" s="12" t="n"/>
      <x:c r="C169" s="12" t="n"/>
      <x:c r="D169" s="12" t="n"/>
      <x:c r="E169" s="12" t="n"/>
      <x:c r="F169" s="12" t="n"/>
      <x:c r="G169" s="13" t="n"/>
      <x:c r="H169" s="12" t="n"/>
      <x:c r="I169" s="12" t="n"/>
      <x:c r="J169" s="14" t="n"/>
      <x:c r="K169" s="12" t="n"/>
      <x:c r="L169" s="12" t="n"/>
      <x:c r="M169" s="15">
        <x:f>IF($A169="","",SUMIF(AR!$B$2:$B$201,$A169,AR!$H$2:$H$201))</x:f>
      </x:c>
      <x:c r="N169" s="16">
        <x:f>IF(OR($J169="",$J169=0),"",IFERROR($M169/$J169,""))</x:f>
      </x:c>
      <x:c r="O169" s="17">
        <x:f>IF($N169="","",IF($N169&gt;=Params!$B$11,"超额度",IF($N169&gt;=Params!$B$10,"高风险",IF($N169&gt;=Params!$B$9,"预警","正常"))))</x:f>
      </x:c>
    </x:row>
    <x:row r="170">
      <x:c r="A170" s="12" t="n"/>
      <x:c r="B170" s="12" t="n"/>
      <x:c r="C170" s="12" t="n"/>
      <x:c r="D170" s="12" t="n"/>
      <x:c r="E170" s="12" t="n"/>
      <x:c r="F170" s="12" t="n"/>
      <x:c r="G170" s="13" t="n"/>
      <x:c r="H170" s="12" t="n"/>
      <x:c r="I170" s="12" t="n"/>
      <x:c r="J170" s="14" t="n"/>
      <x:c r="K170" s="12" t="n"/>
      <x:c r="L170" s="12" t="n"/>
      <x:c r="M170" s="15">
        <x:f>IF($A170="","",SUMIF(AR!$B$2:$B$201,$A170,AR!$H$2:$H$201))</x:f>
      </x:c>
      <x:c r="N170" s="16">
        <x:f>IF(OR($J170="",$J170=0),"",IFERROR($M170/$J170,""))</x:f>
      </x:c>
      <x:c r="O170" s="17">
        <x:f>IF($N170="","",IF($N170&gt;=Params!$B$11,"超额度",IF($N170&gt;=Params!$B$10,"高风险",IF($N170&gt;=Params!$B$9,"预警","正常"))))</x:f>
      </x:c>
    </x:row>
    <x:row r="171">
      <x:c r="A171" s="12" t="n"/>
      <x:c r="B171" s="12" t="n"/>
      <x:c r="C171" s="12" t="n"/>
      <x:c r="D171" s="12" t="n"/>
      <x:c r="E171" s="12" t="n"/>
      <x:c r="F171" s="12" t="n"/>
      <x:c r="G171" s="13" t="n"/>
      <x:c r="H171" s="12" t="n"/>
      <x:c r="I171" s="12" t="n"/>
      <x:c r="J171" s="14" t="n"/>
      <x:c r="K171" s="12" t="n"/>
      <x:c r="L171" s="12" t="n"/>
      <x:c r="M171" s="15">
        <x:f>IF($A171="","",SUMIF(AR!$B$2:$B$201,$A171,AR!$H$2:$H$201))</x:f>
      </x:c>
      <x:c r="N171" s="16">
        <x:f>IF(OR($J171="",$J171=0),"",IFERROR($M171/$J171,""))</x:f>
      </x:c>
      <x:c r="O171" s="17">
        <x:f>IF($N171="","",IF($N171&gt;=Params!$B$11,"超额度",IF($N171&gt;=Params!$B$10,"高风险",IF($N171&gt;=Params!$B$9,"预警","正常"))))</x:f>
      </x:c>
    </x:row>
    <x:row r="172">
      <x:c r="A172" s="12" t="n"/>
      <x:c r="B172" s="12" t="n"/>
      <x:c r="C172" s="12" t="n"/>
      <x:c r="D172" s="12" t="n"/>
      <x:c r="E172" s="12" t="n"/>
      <x:c r="F172" s="12" t="n"/>
      <x:c r="G172" s="13" t="n"/>
      <x:c r="H172" s="12" t="n"/>
      <x:c r="I172" s="12" t="n"/>
      <x:c r="J172" s="14" t="n"/>
      <x:c r="K172" s="12" t="n"/>
      <x:c r="L172" s="12" t="n"/>
      <x:c r="M172" s="15">
        <x:f>IF($A172="","",SUMIF(AR!$B$2:$B$201,$A172,AR!$H$2:$H$201))</x:f>
      </x:c>
      <x:c r="N172" s="16">
        <x:f>IF(OR($J172="",$J172=0),"",IFERROR($M172/$J172,""))</x:f>
      </x:c>
      <x:c r="O172" s="17">
        <x:f>IF($N172="","",IF($N172&gt;=Params!$B$11,"超额度",IF($N172&gt;=Params!$B$10,"高风险",IF($N172&gt;=Params!$B$9,"预警","正常"))))</x:f>
      </x:c>
    </x:row>
    <x:row r="173">
      <x:c r="A173" s="12" t="n"/>
      <x:c r="B173" s="12" t="n"/>
      <x:c r="C173" s="12" t="n"/>
      <x:c r="D173" s="12" t="n"/>
      <x:c r="E173" s="12" t="n"/>
      <x:c r="F173" s="12" t="n"/>
      <x:c r="G173" s="13" t="n"/>
      <x:c r="H173" s="12" t="n"/>
      <x:c r="I173" s="12" t="n"/>
      <x:c r="J173" s="14" t="n"/>
      <x:c r="K173" s="12" t="n"/>
      <x:c r="L173" s="12" t="n"/>
      <x:c r="M173" s="15">
        <x:f>IF($A173="","",SUMIF(AR!$B$2:$B$201,$A173,AR!$H$2:$H$201))</x:f>
      </x:c>
      <x:c r="N173" s="16">
        <x:f>IF(OR($J173="",$J173=0),"",IFERROR($M173/$J173,""))</x:f>
      </x:c>
      <x:c r="O173" s="17">
        <x:f>IF($N173="","",IF($N173&gt;=Params!$B$11,"超额度",IF($N173&gt;=Params!$B$10,"高风险",IF($N173&gt;=Params!$B$9,"预警","正常"))))</x:f>
      </x:c>
    </x:row>
    <x:row r="174">
      <x:c r="A174" s="12" t="n"/>
      <x:c r="B174" s="12" t="n"/>
      <x:c r="C174" s="12" t="n"/>
      <x:c r="D174" s="12" t="n"/>
      <x:c r="E174" s="12" t="n"/>
      <x:c r="F174" s="12" t="n"/>
      <x:c r="G174" s="13" t="n"/>
      <x:c r="H174" s="12" t="n"/>
      <x:c r="I174" s="12" t="n"/>
      <x:c r="J174" s="14" t="n"/>
      <x:c r="K174" s="12" t="n"/>
      <x:c r="L174" s="12" t="n"/>
      <x:c r="M174" s="15">
        <x:f>IF($A174="","",SUMIF(AR!$B$2:$B$201,$A174,AR!$H$2:$H$201))</x:f>
      </x:c>
      <x:c r="N174" s="16">
        <x:f>IF(OR($J174="",$J174=0),"",IFERROR($M174/$J174,""))</x:f>
      </x:c>
      <x:c r="O174" s="17">
        <x:f>IF($N174="","",IF($N174&gt;=Params!$B$11,"超额度",IF($N174&gt;=Params!$B$10,"高风险",IF($N174&gt;=Params!$B$9,"预警","正常"))))</x:f>
      </x:c>
    </x:row>
    <x:row r="175">
      <x:c r="A175" s="12" t="n"/>
      <x:c r="B175" s="12" t="n"/>
      <x:c r="C175" s="12" t="n"/>
      <x:c r="D175" s="12" t="n"/>
      <x:c r="E175" s="12" t="n"/>
      <x:c r="F175" s="12" t="n"/>
      <x:c r="G175" s="13" t="n"/>
      <x:c r="H175" s="12" t="n"/>
      <x:c r="I175" s="12" t="n"/>
      <x:c r="J175" s="14" t="n"/>
      <x:c r="K175" s="12" t="n"/>
      <x:c r="L175" s="12" t="n"/>
      <x:c r="M175" s="15">
        <x:f>IF($A175="","",SUMIF(AR!$B$2:$B$201,$A175,AR!$H$2:$H$201))</x:f>
      </x:c>
      <x:c r="N175" s="16">
        <x:f>IF(OR($J175="",$J175=0),"",IFERROR($M175/$J175,""))</x:f>
      </x:c>
      <x:c r="O175" s="17">
        <x:f>IF($N175="","",IF($N175&gt;=Params!$B$11,"超额度",IF($N175&gt;=Params!$B$10,"高风险",IF($N175&gt;=Params!$B$9,"预警","正常"))))</x:f>
      </x:c>
    </x:row>
    <x:row r="176">
      <x:c r="A176" s="12" t="n"/>
      <x:c r="B176" s="12" t="n"/>
      <x:c r="C176" s="12" t="n"/>
      <x:c r="D176" s="12" t="n"/>
      <x:c r="E176" s="12" t="n"/>
      <x:c r="F176" s="12" t="n"/>
      <x:c r="G176" s="13" t="n"/>
      <x:c r="H176" s="12" t="n"/>
      <x:c r="I176" s="12" t="n"/>
      <x:c r="J176" s="14" t="n"/>
      <x:c r="K176" s="12" t="n"/>
      <x:c r="L176" s="12" t="n"/>
      <x:c r="M176" s="15">
        <x:f>IF($A176="","",SUMIF(AR!$B$2:$B$201,$A176,AR!$H$2:$H$201))</x:f>
      </x:c>
      <x:c r="N176" s="16">
        <x:f>IF(OR($J176="",$J176=0),"",IFERROR($M176/$J176,""))</x:f>
      </x:c>
      <x:c r="O176" s="17">
        <x:f>IF($N176="","",IF($N176&gt;=Params!$B$11,"超额度",IF($N176&gt;=Params!$B$10,"高风险",IF($N176&gt;=Params!$B$9,"预警","正常"))))</x:f>
      </x:c>
    </x:row>
    <x:row r="177">
      <x:c r="A177" s="12" t="n"/>
      <x:c r="B177" s="12" t="n"/>
      <x:c r="C177" s="12" t="n"/>
      <x:c r="D177" s="12" t="n"/>
      <x:c r="E177" s="12" t="n"/>
      <x:c r="F177" s="12" t="n"/>
      <x:c r="G177" s="13" t="n"/>
      <x:c r="H177" s="12" t="n"/>
      <x:c r="I177" s="12" t="n"/>
      <x:c r="J177" s="14" t="n"/>
      <x:c r="K177" s="12" t="n"/>
      <x:c r="L177" s="12" t="n"/>
      <x:c r="M177" s="15">
        <x:f>IF($A177="","",SUMIF(AR!$B$2:$B$201,$A177,AR!$H$2:$H$201))</x:f>
      </x:c>
      <x:c r="N177" s="16">
        <x:f>IF(OR($J177="",$J177=0),"",IFERROR($M177/$J177,""))</x:f>
      </x:c>
      <x:c r="O177" s="17">
        <x:f>IF($N177="","",IF($N177&gt;=Params!$B$11,"超额度",IF($N177&gt;=Params!$B$10,"高风险",IF($N177&gt;=Params!$B$9,"预警","正常"))))</x:f>
      </x:c>
    </x:row>
    <x:row r="178">
      <x:c r="A178" s="12" t="n"/>
      <x:c r="B178" s="12" t="n"/>
      <x:c r="C178" s="12" t="n"/>
      <x:c r="D178" s="12" t="n"/>
      <x:c r="E178" s="12" t="n"/>
      <x:c r="F178" s="12" t="n"/>
      <x:c r="G178" s="13" t="n"/>
      <x:c r="H178" s="12" t="n"/>
      <x:c r="I178" s="12" t="n"/>
      <x:c r="J178" s="14" t="n"/>
      <x:c r="K178" s="12" t="n"/>
      <x:c r="L178" s="12" t="n"/>
      <x:c r="M178" s="15">
        <x:f>IF($A178="","",SUMIF(AR!$B$2:$B$201,$A178,AR!$H$2:$H$201))</x:f>
      </x:c>
      <x:c r="N178" s="16">
        <x:f>IF(OR($J178="",$J178=0),"",IFERROR($M178/$J178,""))</x:f>
      </x:c>
      <x:c r="O178" s="17">
        <x:f>IF($N178="","",IF($N178&gt;=Params!$B$11,"超额度",IF($N178&gt;=Params!$B$10,"高风险",IF($N178&gt;=Params!$B$9,"预警","正常"))))</x:f>
      </x:c>
    </x:row>
    <x:row r="179">
      <x:c r="A179" s="12" t="n"/>
      <x:c r="B179" s="12" t="n"/>
      <x:c r="C179" s="12" t="n"/>
      <x:c r="D179" s="12" t="n"/>
      <x:c r="E179" s="12" t="n"/>
      <x:c r="F179" s="12" t="n"/>
      <x:c r="G179" s="13" t="n"/>
      <x:c r="H179" s="12" t="n"/>
      <x:c r="I179" s="12" t="n"/>
      <x:c r="J179" s="14" t="n"/>
      <x:c r="K179" s="12" t="n"/>
      <x:c r="L179" s="12" t="n"/>
      <x:c r="M179" s="15">
        <x:f>IF($A179="","",SUMIF(AR!$B$2:$B$201,$A179,AR!$H$2:$H$201))</x:f>
      </x:c>
      <x:c r="N179" s="16">
        <x:f>IF(OR($J179="",$J179=0),"",IFERROR($M179/$J179,""))</x:f>
      </x:c>
      <x:c r="O179" s="17">
        <x:f>IF($N179="","",IF($N179&gt;=Params!$B$11,"超额度",IF($N179&gt;=Params!$B$10,"高风险",IF($N179&gt;=Params!$B$9,"预警","正常"))))</x:f>
      </x:c>
    </x:row>
    <x:row r="180">
      <x:c r="A180" s="12" t="n"/>
      <x:c r="B180" s="12" t="n"/>
      <x:c r="C180" s="12" t="n"/>
      <x:c r="D180" s="12" t="n"/>
      <x:c r="E180" s="12" t="n"/>
      <x:c r="F180" s="12" t="n"/>
      <x:c r="G180" s="13" t="n"/>
      <x:c r="H180" s="12" t="n"/>
      <x:c r="I180" s="12" t="n"/>
      <x:c r="J180" s="14" t="n"/>
      <x:c r="K180" s="12" t="n"/>
      <x:c r="L180" s="12" t="n"/>
      <x:c r="M180" s="15">
        <x:f>IF($A180="","",SUMIF(AR!$B$2:$B$201,$A180,AR!$H$2:$H$201))</x:f>
      </x:c>
      <x:c r="N180" s="16">
        <x:f>IF(OR($J180="",$J180=0),"",IFERROR($M180/$J180,""))</x:f>
      </x:c>
      <x:c r="O180" s="17">
        <x:f>IF($N180="","",IF($N180&gt;=Params!$B$11,"超额度",IF($N180&gt;=Params!$B$10,"高风险",IF($N180&gt;=Params!$B$9,"预警","正常"))))</x:f>
      </x:c>
    </x:row>
    <x:row r="181">
      <x:c r="A181" s="12" t="n"/>
      <x:c r="B181" s="12" t="n"/>
      <x:c r="C181" s="12" t="n"/>
      <x:c r="D181" s="12" t="n"/>
      <x:c r="E181" s="12" t="n"/>
      <x:c r="F181" s="12" t="n"/>
      <x:c r="G181" s="13" t="n"/>
      <x:c r="H181" s="12" t="n"/>
      <x:c r="I181" s="12" t="n"/>
      <x:c r="J181" s="14" t="n"/>
      <x:c r="K181" s="12" t="n"/>
      <x:c r="L181" s="12" t="n"/>
      <x:c r="M181" s="15">
        <x:f>IF($A181="","",SUMIF(AR!$B$2:$B$201,$A181,AR!$H$2:$H$201))</x:f>
      </x:c>
      <x:c r="N181" s="16">
        <x:f>IF(OR($J181="",$J181=0),"",IFERROR($M181/$J181,""))</x:f>
      </x:c>
      <x:c r="O181" s="17">
        <x:f>IF($N181="","",IF($N181&gt;=Params!$B$11,"超额度",IF($N181&gt;=Params!$B$10,"高风险",IF($N181&gt;=Params!$B$9,"预警","正常"))))</x:f>
      </x:c>
    </x:row>
    <x:row r="182">
      <x:c r="A182" s="12" t="n"/>
      <x:c r="B182" s="12" t="n"/>
      <x:c r="C182" s="12" t="n"/>
      <x:c r="D182" s="12" t="n"/>
      <x:c r="E182" s="12" t="n"/>
      <x:c r="F182" s="12" t="n"/>
      <x:c r="G182" s="13" t="n"/>
      <x:c r="H182" s="12" t="n"/>
      <x:c r="I182" s="12" t="n"/>
      <x:c r="J182" s="14" t="n"/>
      <x:c r="K182" s="12" t="n"/>
      <x:c r="L182" s="12" t="n"/>
      <x:c r="M182" s="15">
        <x:f>IF($A182="","",SUMIF(AR!$B$2:$B$201,$A182,AR!$H$2:$H$201))</x:f>
      </x:c>
      <x:c r="N182" s="16">
        <x:f>IF(OR($J182="",$J182=0),"",IFERROR($M182/$J182,""))</x:f>
      </x:c>
      <x:c r="O182" s="17">
        <x:f>IF($N182="","",IF($N182&gt;=Params!$B$11,"超额度",IF($N182&gt;=Params!$B$10,"高风险",IF($N182&gt;=Params!$B$9,"预警","正常"))))</x:f>
      </x:c>
    </x:row>
    <x:row r="183">
      <x:c r="A183" s="12" t="n"/>
      <x:c r="B183" s="12" t="n"/>
      <x:c r="C183" s="12" t="n"/>
      <x:c r="D183" s="12" t="n"/>
      <x:c r="E183" s="12" t="n"/>
      <x:c r="F183" s="12" t="n"/>
      <x:c r="G183" s="13" t="n"/>
      <x:c r="H183" s="12" t="n"/>
      <x:c r="I183" s="12" t="n"/>
      <x:c r="J183" s="14" t="n"/>
      <x:c r="K183" s="12" t="n"/>
      <x:c r="L183" s="12" t="n"/>
      <x:c r="M183" s="15">
        <x:f>IF($A183="","",SUMIF(AR!$B$2:$B$201,$A183,AR!$H$2:$H$201))</x:f>
      </x:c>
      <x:c r="N183" s="16">
        <x:f>IF(OR($J183="",$J183=0),"",IFERROR($M183/$J183,""))</x:f>
      </x:c>
      <x:c r="O183" s="17">
        <x:f>IF($N183="","",IF($N183&gt;=Params!$B$11,"超额度",IF($N183&gt;=Params!$B$10,"高风险",IF($N183&gt;=Params!$B$9,"预警","正常"))))</x:f>
      </x:c>
    </x:row>
    <x:row r="184">
      <x:c r="A184" s="12" t="n"/>
      <x:c r="B184" s="12" t="n"/>
      <x:c r="C184" s="12" t="n"/>
      <x:c r="D184" s="12" t="n"/>
      <x:c r="E184" s="12" t="n"/>
      <x:c r="F184" s="12" t="n"/>
      <x:c r="G184" s="13" t="n"/>
      <x:c r="H184" s="12" t="n"/>
      <x:c r="I184" s="12" t="n"/>
      <x:c r="J184" s="14" t="n"/>
      <x:c r="K184" s="12" t="n"/>
      <x:c r="L184" s="12" t="n"/>
      <x:c r="M184" s="15">
        <x:f>IF($A184="","",SUMIF(AR!$B$2:$B$201,$A184,AR!$H$2:$H$201))</x:f>
      </x:c>
      <x:c r="N184" s="16">
        <x:f>IF(OR($J184="",$J184=0),"",IFERROR($M184/$J184,""))</x:f>
      </x:c>
      <x:c r="O184" s="17">
        <x:f>IF($N184="","",IF($N184&gt;=Params!$B$11,"超额度",IF($N184&gt;=Params!$B$10,"高风险",IF($N184&gt;=Params!$B$9,"预警","正常"))))</x:f>
      </x:c>
    </x:row>
    <x:row r="185">
      <x:c r="A185" s="12" t="n"/>
      <x:c r="B185" s="12" t="n"/>
      <x:c r="C185" s="12" t="n"/>
      <x:c r="D185" s="12" t="n"/>
      <x:c r="E185" s="12" t="n"/>
      <x:c r="F185" s="12" t="n"/>
      <x:c r="G185" s="13" t="n"/>
      <x:c r="H185" s="12" t="n"/>
      <x:c r="I185" s="12" t="n"/>
      <x:c r="J185" s="14" t="n"/>
      <x:c r="K185" s="12" t="n"/>
      <x:c r="L185" s="12" t="n"/>
      <x:c r="M185" s="15">
        <x:f>IF($A185="","",SUMIF(AR!$B$2:$B$201,$A185,AR!$H$2:$H$201))</x:f>
      </x:c>
      <x:c r="N185" s="16">
        <x:f>IF(OR($J185="",$J185=0),"",IFERROR($M185/$J185,""))</x:f>
      </x:c>
      <x:c r="O185" s="17">
        <x:f>IF($N185="","",IF($N185&gt;=Params!$B$11,"超额度",IF($N185&gt;=Params!$B$10,"高风险",IF($N185&gt;=Params!$B$9,"预警","正常"))))</x:f>
      </x:c>
    </x:row>
    <x:row r="186">
      <x:c r="A186" s="12" t="n"/>
      <x:c r="B186" s="12" t="n"/>
      <x:c r="C186" s="12" t="n"/>
      <x:c r="D186" s="12" t="n"/>
      <x:c r="E186" s="12" t="n"/>
      <x:c r="F186" s="12" t="n"/>
      <x:c r="G186" s="13" t="n"/>
      <x:c r="H186" s="12" t="n"/>
      <x:c r="I186" s="12" t="n"/>
      <x:c r="J186" s="14" t="n"/>
      <x:c r="K186" s="12" t="n"/>
      <x:c r="L186" s="12" t="n"/>
      <x:c r="M186" s="15">
        <x:f>IF($A186="","",SUMIF(AR!$B$2:$B$201,$A186,AR!$H$2:$H$201))</x:f>
      </x:c>
      <x:c r="N186" s="16">
        <x:f>IF(OR($J186="",$J186=0),"",IFERROR($M186/$J186,""))</x:f>
      </x:c>
      <x:c r="O186" s="17">
        <x:f>IF($N186="","",IF($N186&gt;=Params!$B$11,"超额度",IF($N186&gt;=Params!$B$10,"高风险",IF($N186&gt;=Params!$B$9,"预警","正常"))))</x:f>
      </x:c>
    </x:row>
    <x:row r="187">
      <x:c r="A187" s="12" t="n"/>
      <x:c r="B187" s="12" t="n"/>
      <x:c r="C187" s="12" t="n"/>
      <x:c r="D187" s="12" t="n"/>
      <x:c r="E187" s="12" t="n"/>
      <x:c r="F187" s="12" t="n"/>
      <x:c r="G187" s="13" t="n"/>
      <x:c r="H187" s="12" t="n"/>
      <x:c r="I187" s="12" t="n"/>
      <x:c r="J187" s="14" t="n"/>
      <x:c r="K187" s="12" t="n"/>
      <x:c r="L187" s="12" t="n"/>
      <x:c r="M187" s="15">
        <x:f>IF($A187="","",SUMIF(AR!$B$2:$B$201,$A187,AR!$H$2:$H$201))</x:f>
      </x:c>
      <x:c r="N187" s="16">
        <x:f>IF(OR($J187="",$J187=0),"",IFERROR($M187/$J187,""))</x:f>
      </x:c>
      <x:c r="O187" s="17">
        <x:f>IF($N187="","",IF($N187&gt;=Params!$B$11,"超额度",IF($N187&gt;=Params!$B$10,"高风险",IF($N187&gt;=Params!$B$9,"预警","正常"))))</x:f>
      </x:c>
    </x:row>
    <x:row r="188">
      <x:c r="A188" s="12" t="n"/>
      <x:c r="B188" s="12" t="n"/>
      <x:c r="C188" s="12" t="n"/>
      <x:c r="D188" s="12" t="n"/>
      <x:c r="E188" s="12" t="n"/>
      <x:c r="F188" s="12" t="n"/>
      <x:c r="G188" s="13" t="n"/>
      <x:c r="H188" s="12" t="n"/>
      <x:c r="I188" s="12" t="n"/>
      <x:c r="J188" s="14" t="n"/>
      <x:c r="K188" s="12" t="n"/>
      <x:c r="L188" s="12" t="n"/>
      <x:c r="M188" s="15">
        <x:f>IF($A188="","",SUMIF(AR!$B$2:$B$201,$A188,AR!$H$2:$H$201))</x:f>
      </x:c>
      <x:c r="N188" s="16">
        <x:f>IF(OR($J188="",$J188=0),"",IFERROR($M188/$J188,""))</x:f>
      </x:c>
      <x:c r="O188" s="17">
        <x:f>IF($N188="","",IF($N188&gt;=Params!$B$11,"超额度",IF($N188&gt;=Params!$B$10,"高风险",IF($N188&gt;=Params!$B$9,"预警","正常"))))</x:f>
      </x:c>
    </x:row>
    <x:row r="189">
      <x:c r="A189" s="12" t="n"/>
      <x:c r="B189" s="12" t="n"/>
      <x:c r="C189" s="12" t="n"/>
      <x:c r="D189" s="12" t="n"/>
      <x:c r="E189" s="12" t="n"/>
      <x:c r="F189" s="12" t="n"/>
      <x:c r="G189" s="13" t="n"/>
      <x:c r="H189" s="12" t="n"/>
      <x:c r="I189" s="12" t="n"/>
      <x:c r="J189" s="14" t="n"/>
      <x:c r="K189" s="12" t="n"/>
      <x:c r="L189" s="12" t="n"/>
      <x:c r="M189" s="15">
        <x:f>IF($A189="","",SUMIF(AR!$B$2:$B$201,$A189,AR!$H$2:$H$201))</x:f>
      </x:c>
      <x:c r="N189" s="16">
        <x:f>IF(OR($J189="",$J189=0),"",IFERROR($M189/$J189,""))</x:f>
      </x:c>
      <x:c r="O189" s="17">
        <x:f>IF($N189="","",IF($N189&gt;=Params!$B$11,"超额度",IF($N189&gt;=Params!$B$10,"高风险",IF($N189&gt;=Params!$B$9,"预警","正常"))))</x:f>
      </x:c>
    </x:row>
    <x:row r="190">
      <x:c r="A190" s="12" t="n"/>
      <x:c r="B190" s="12" t="n"/>
      <x:c r="C190" s="12" t="n"/>
      <x:c r="D190" s="12" t="n"/>
      <x:c r="E190" s="12" t="n"/>
      <x:c r="F190" s="12" t="n"/>
      <x:c r="G190" s="13" t="n"/>
      <x:c r="H190" s="12" t="n"/>
      <x:c r="I190" s="12" t="n"/>
      <x:c r="J190" s="14" t="n"/>
      <x:c r="K190" s="12" t="n"/>
      <x:c r="L190" s="12" t="n"/>
      <x:c r="M190" s="15">
        <x:f>IF($A190="","",SUMIF(AR!$B$2:$B$201,$A190,AR!$H$2:$H$201))</x:f>
      </x:c>
      <x:c r="N190" s="16">
        <x:f>IF(OR($J190="",$J190=0),"",IFERROR($M190/$J190,""))</x:f>
      </x:c>
      <x:c r="O190" s="17">
        <x:f>IF($N190="","",IF($N190&gt;=Params!$B$11,"超额度",IF($N190&gt;=Params!$B$10,"高风险",IF($N190&gt;=Params!$B$9,"预警","正常"))))</x:f>
      </x:c>
    </x:row>
    <x:row r="191">
      <x:c r="A191" s="12" t="n"/>
      <x:c r="B191" s="12" t="n"/>
      <x:c r="C191" s="12" t="n"/>
      <x:c r="D191" s="12" t="n"/>
      <x:c r="E191" s="12" t="n"/>
      <x:c r="F191" s="12" t="n"/>
      <x:c r="G191" s="13" t="n"/>
      <x:c r="H191" s="12" t="n"/>
      <x:c r="I191" s="12" t="n"/>
      <x:c r="J191" s="14" t="n"/>
      <x:c r="K191" s="12" t="n"/>
      <x:c r="L191" s="12" t="n"/>
      <x:c r="M191" s="15">
        <x:f>IF($A191="","",SUMIF(AR!$B$2:$B$201,$A191,AR!$H$2:$H$201))</x:f>
      </x:c>
      <x:c r="N191" s="16">
        <x:f>IF(OR($J191="",$J191=0),"",IFERROR($M191/$J191,""))</x:f>
      </x:c>
      <x:c r="O191" s="17">
        <x:f>IF($N191="","",IF($N191&gt;=Params!$B$11,"超额度",IF($N191&gt;=Params!$B$10,"高风险",IF($N191&gt;=Params!$B$9,"预警","正常"))))</x:f>
      </x:c>
    </x:row>
    <x:row r="192">
      <x:c r="A192" s="12" t="n"/>
      <x:c r="B192" s="12" t="n"/>
      <x:c r="C192" s="12" t="n"/>
      <x:c r="D192" s="12" t="n"/>
      <x:c r="E192" s="12" t="n"/>
      <x:c r="F192" s="12" t="n"/>
      <x:c r="G192" s="13" t="n"/>
      <x:c r="H192" s="12" t="n"/>
      <x:c r="I192" s="12" t="n"/>
      <x:c r="J192" s="14" t="n"/>
      <x:c r="K192" s="12" t="n"/>
      <x:c r="L192" s="12" t="n"/>
      <x:c r="M192" s="15">
        <x:f>IF($A192="","",SUMIF(AR!$B$2:$B$201,$A192,AR!$H$2:$H$201))</x:f>
      </x:c>
      <x:c r="N192" s="16">
        <x:f>IF(OR($J192="",$J192=0),"",IFERROR($M192/$J192,""))</x:f>
      </x:c>
      <x:c r="O192" s="17">
        <x:f>IF($N192="","",IF($N192&gt;=Params!$B$11,"超额度",IF($N192&gt;=Params!$B$10,"高风险",IF($N192&gt;=Params!$B$9,"预警","正常"))))</x:f>
      </x:c>
    </x:row>
    <x:row r="193">
      <x:c r="A193" s="12" t="n"/>
      <x:c r="B193" s="12" t="n"/>
      <x:c r="C193" s="12" t="n"/>
      <x:c r="D193" s="12" t="n"/>
      <x:c r="E193" s="12" t="n"/>
      <x:c r="F193" s="12" t="n"/>
      <x:c r="G193" s="13" t="n"/>
      <x:c r="H193" s="12" t="n"/>
      <x:c r="I193" s="12" t="n"/>
      <x:c r="J193" s="14" t="n"/>
      <x:c r="K193" s="12" t="n"/>
      <x:c r="L193" s="12" t="n"/>
      <x:c r="M193" s="15">
        <x:f>IF($A193="","",SUMIF(AR!$B$2:$B$201,$A193,AR!$H$2:$H$201))</x:f>
      </x:c>
      <x:c r="N193" s="16">
        <x:f>IF(OR($J193="",$J193=0),"",IFERROR($M193/$J193,""))</x:f>
      </x:c>
      <x:c r="O193" s="17">
        <x:f>IF($N193="","",IF($N193&gt;=Params!$B$11,"超额度",IF($N193&gt;=Params!$B$10,"高风险",IF($N193&gt;=Params!$B$9,"预警","正常"))))</x:f>
      </x:c>
    </x:row>
    <x:row r="194">
      <x:c r="A194" s="12" t="n"/>
      <x:c r="B194" s="12" t="n"/>
      <x:c r="C194" s="12" t="n"/>
      <x:c r="D194" s="12" t="n"/>
      <x:c r="E194" s="12" t="n"/>
      <x:c r="F194" s="12" t="n"/>
      <x:c r="G194" s="13" t="n"/>
      <x:c r="H194" s="12" t="n"/>
      <x:c r="I194" s="12" t="n"/>
      <x:c r="J194" s="14" t="n"/>
      <x:c r="K194" s="12" t="n"/>
      <x:c r="L194" s="12" t="n"/>
      <x:c r="M194" s="15">
        <x:f>IF($A194="","",SUMIF(AR!$B$2:$B$201,$A194,AR!$H$2:$H$201))</x:f>
      </x:c>
      <x:c r="N194" s="16">
        <x:f>IF(OR($J194="",$J194=0),"",IFERROR($M194/$J194,""))</x:f>
      </x:c>
      <x:c r="O194" s="17">
        <x:f>IF($N194="","",IF($N194&gt;=Params!$B$11,"超额度",IF($N194&gt;=Params!$B$10,"高风险",IF($N194&gt;=Params!$B$9,"预警","正常"))))</x:f>
      </x:c>
    </x:row>
    <x:row r="195">
      <x:c r="A195" s="12" t="n"/>
      <x:c r="B195" s="12" t="n"/>
      <x:c r="C195" s="12" t="n"/>
      <x:c r="D195" s="12" t="n"/>
      <x:c r="E195" s="12" t="n"/>
      <x:c r="F195" s="12" t="n"/>
      <x:c r="G195" s="13" t="n"/>
      <x:c r="H195" s="12" t="n"/>
      <x:c r="I195" s="12" t="n"/>
      <x:c r="J195" s="14" t="n"/>
      <x:c r="K195" s="12" t="n"/>
      <x:c r="L195" s="12" t="n"/>
      <x:c r="M195" s="15">
        <x:f>IF($A195="","",SUMIF(AR!$B$2:$B$201,$A195,AR!$H$2:$H$201))</x:f>
      </x:c>
      <x:c r="N195" s="16">
        <x:f>IF(OR($J195="",$J195=0),"",IFERROR($M195/$J195,""))</x:f>
      </x:c>
      <x:c r="O195" s="17">
        <x:f>IF($N195="","",IF($N195&gt;=Params!$B$11,"超额度",IF($N195&gt;=Params!$B$10,"高风险",IF($N195&gt;=Params!$B$9,"预警","正常"))))</x:f>
      </x:c>
    </x:row>
    <x:row r="196">
      <x:c r="A196" s="12" t="n"/>
      <x:c r="B196" s="12" t="n"/>
      <x:c r="C196" s="12" t="n"/>
      <x:c r="D196" s="12" t="n"/>
      <x:c r="E196" s="12" t="n"/>
      <x:c r="F196" s="12" t="n"/>
      <x:c r="G196" s="13" t="n"/>
      <x:c r="H196" s="12" t="n"/>
      <x:c r="I196" s="12" t="n"/>
      <x:c r="J196" s="14" t="n"/>
      <x:c r="K196" s="12" t="n"/>
      <x:c r="L196" s="12" t="n"/>
      <x:c r="M196" s="15">
        <x:f>IF($A196="","",SUMIF(AR!$B$2:$B$201,$A196,AR!$H$2:$H$201))</x:f>
      </x:c>
      <x:c r="N196" s="16">
        <x:f>IF(OR($J196="",$J196=0),"",IFERROR($M196/$J196,""))</x:f>
      </x:c>
      <x:c r="O196" s="17">
        <x:f>IF($N196="","",IF($N196&gt;=Params!$B$11,"超额度",IF($N196&gt;=Params!$B$10,"高风险",IF($N196&gt;=Params!$B$9,"预警","正常"))))</x:f>
      </x:c>
    </x:row>
    <x:row r="197">
      <x:c r="A197" s="12" t="n"/>
      <x:c r="B197" s="12" t="n"/>
      <x:c r="C197" s="12" t="n"/>
      <x:c r="D197" s="12" t="n"/>
      <x:c r="E197" s="12" t="n"/>
      <x:c r="F197" s="12" t="n"/>
      <x:c r="G197" s="13" t="n"/>
      <x:c r="H197" s="12" t="n"/>
      <x:c r="I197" s="12" t="n"/>
      <x:c r="J197" s="14" t="n"/>
      <x:c r="K197" s="12" t="n"/>
      <x:c r="L197" s="12" t="n"/>
      <x:c r="M197" s="15">
        <x:f>IF($A197="","",SUMIF(AR!$B$2:$B$201,$A197,AR!$H$2:$H$201))</x:f>
      </x:c>
      <x:c r="N197" s="16">
        <x:f>IF(OR($J197="",$J197=0),"",IFERROR($M197/$J197,""))</x:f>
      </x:c>
      <x:c r="O197" s="17">
        <x:f>IF($N197="","",IF($N197&gt;=Params!$B$11,"超额度",IF($N197&gt;=Params!$B$10,"高风险",IF($N197&gt;=Params!$B$9,"预警","正常"))))</x:f>
      </x:c>
    </x:row>
    <x:row r="198">
      <x:c r="A198" s="12" t="n"/>
      <x:c r="B198" s="12" t="n"/>
      <x:c r="C198" s="12" t="n"/>
      <x:c r="D198" s="12" t="n"/>
      <x:c r="E198" s="12" t="n"/>
      <x:c r="F198" s="12" t="n"/>
      <x:c r="G198" s="13" t="n"/>
      <x:c r="H198" s="12" t="n"/>
      <x:c r="I198" s="12" t="n"/>
      <x:c r="J198" s="14" t="n"/>
      <x:c r="K198" s="12" t="n"/>
      <x:c r="L198" s="12" t="n"/>
      <x:c r="M198" s="15">
        <x:f>IF($A198="","",SUMIF(AR!$B$2:$B$201,$A198,AR!$H$2:$H$201))</x:f>
      </x:c>
      <x:c r="N198" s="16">
        <x:f>IF(OR($J198="",$J198=0),"",IFERROR($M198/$J198,""))</x:f>
      </x:c>
      <x:c r="O198" s="17">
        <x:f>IF($N198="","",IF($N198&gt;=Params!$B$11,"超额度",IF($N198&gt;=Params!$B$10,"高风险",IF($N198&gt;=Params!$B$9,"预警","正常"))))</x:f>
      </x:c>
    </x:row>
    <x:row r="199">
      <x:c r="A199" s="12" t="n"/>
      <x:c r="B199" s="12" t="n"/>
      <x:c r="C199" s="12" t="n"/>
      <x:c r="D199" s="12" t="n"/>
      <x:c r="E199" s="12" t="n"/>
      <x:c r="F199" s="12" t="n"/>
      <x:c r="G199" s="13" t="n"/>
      <x:c r="H199" s="12" t="n"/>
      <x:c r="I199" s="12" t="n"/>
      <x:c r="J199" s="14" t="n"/>
      <x:c r="K199" s="12" t="n"/>
      <x:c r="L199" s="12" t="n"/>
      <x:c r="M199" s="15">
        <x:f>IF($A199="","",SUMIF(AR!$B$2:$B$201,$A199,AR!$H$2:$H$201))</x:f>
      </x:c>
      <x:c r="N199" s="16">
        <x:f>IF(OR($J199="",$J199=0),"",IFERROR($M199/$J199,""))</x:f>
      </x:c>
      <x:c r="O199" s="17">
        <x:f>IF($N199="","",IF($N199&gt;=Params!$B$11,"超额度",IF($N199&gt;=Params!$B$10,"高风险",IF($N199&gt;=Params!$B$9,"预警","正常"))))</x:f>
      </x:c>
    </x:row>
    <x:row r="200">
      <x:c r="A200" s="12" t="n"/>
      <x:c r="B200" s="12" t="n"/>
      <x:c r="C200" s="12" t="n"/>
      <x:c r="D200" s="12" t="n"/>
      <x:c r="E200" s="12" t="n"/>
      <x:c r="F200" s="12" t="n"/>
      <x:c r="G200" s="13" t="n"/>
      <x:c r="H200" s="12" t="n"/>
      <x:c r="I200" s="12" t="n"/>
      <x:c r="J200" s="14" t="n"/>
      <x:c r="K200" s="12" t="n"/>
      <x:c r="L200" s="12" t="n"/>
      <x:c r="M200" s="15">
        <x:f>IF($A200="","",SUMIF(AR!$B$2:$B$201,$A200,AR!$H$2:$H$201))</x:f>
      </x:c>
      <x:c r="N200" s="16">
        <x:f>IF(OR($J200="",$J200=0),"",IFERROR($M200/$J200,""))</x:f>
      </x:c>
      <x:c r="O200" s="17">
        <x:f>IF($N200="","",IF($N200&gt;=Params!$B$11,"超额度",IF($N200&gt;=Params!$B$10,"高风险",IF($N200&gt;=Params!$B$9,"预警","正常"))))</x:f>
      </x:c>
    </x:row>
    <x:row r="201">
      <x:c r="A201" s="12" t="n"/>
      <x:c r="B201" s="12" t="n"/>
      <x:c r="C201" s="12" t="n"/>
      <x:c r="D201" s="12" t="n"/>
      <x:c r="E201" s="12" t="n"/>
      <x:c r="F201" s="12" t="n"/>
      <x:c r="G201" s="13" t="n"/>
      <x:c r="H201" s="12" t="n"/>
      <x:c r="I201" s="12" t="n"/>
      <x:c r="J201" s="14" t="n"/>
      <x:c r="K201" s="12" t="n"/>
      <x:c r="L201" s="12" t="n"/>
      <x:c r="M201" s="15">
        <x:f>IF($A201="","",SUMIF(AR!$B$2:$B$201,$A201,AR!$H$2:$H$201))</x:f>
      </x:c>
      <x:c r="N201" s="16">
        <x:f>IF(OR($J201="",$J201=0),"",IFERROR($M201/$J201,""))</x:f>
      </x:c>
      <x:c r="O201" s="17">
        <x:f>IF($N201="","",IF($N201&gt;=Params!$B$11,"超额度",IF($N201&gt;=Params!$B$10,"高风险",IF($N201&gt;=Params!$B$9,"预警","正常"))))</x:f>
      </x:c>
    </x:row>
  </x:sheetData>
  <x:dataValidations count="2">
    <x:dataValidation type="list" allowBlank="1" showDropDown="0" showInputMessage="0" showErrorMessage="0" sqref="I2:I201">
      <x:formula1>"A+,A,B,C,D"</x:formula1>
    </x:dataValidation>
    <x:dataValidation type="list" allowBlank="1" showDropDown="0" showInputMessage="0" showErrorMessage="0" sqref="K2:K201">
      <x:formula1>"否,是"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2" customWidth="1"/>
    <x:col min="4" max="4" width="22" customWidth="1"/>
    <x:col min="5" max="5" width="16" customWidth="1"/>
    <x:col min="6" max="6" width="14" customWidth="1"/>
    <x:col min="7" max="7" width="12" customWidth="1"/>
    <x:col min="8" max="8" width="10" customWidth="1"/>
    <x:col min="9" max="9" width="10" customWidth="1"/>
    <x:col min="10" max="10" width="10" customWidth="1"/>
    <x:col min="11" max="11" width="12" customWidth="1"/>
  </x:cols>
  <x:sheetData>
    <x:row r="1" ht="24" customHeight="1">
      <x:c r="A1" s="8" t="inlineStr">
        <x:is>
          <x:t xml:space="preserve">合同ID</x:t>
        </x:is>
      </x:c>
      <x:c r="B1" s="8" t="inlineStr">
        <x:is>
          <x:t xml:space="preserve">客户ID</x:t>
        </x:is>
      </x:c>
      <x:c r="C1" s="8" t="inlineStr">
        <x:is>
          <x:t xml:space="preserve">客户名称</x:t>
        </x:is>
      </x:c>
      <x:c r="D1" s="8" t="inlineStr">
        <x:is>
          <x:t xml:space="preserve">项目名称</x:t>
        </x:is>
      </x:c>
      <x:c r="E1" s="8" t="inlineStr">
        <x:is>
          <x:t xml:space="preserve">合同编号</x:t>
        </x:is>
      </x:c>
      <x:c r="F1" s="8" t="inlineStr">
        <x:is>
          <x:t xml:space="preserve">合同金额(元)</x:t>
        </x:is>
      </x:c>
      <x:c r="G1" s="8" t="inlineStr">
        <x:is>
          <x:t xml:space="preserve">签订日期</x:t>
        </x:is>
      </x:c>
      <x:c r="H1" s="8" t="inlineStr">
        <x:is>
          <x:t xml:space="preserve">账期(天)</x:t>
        </x:is>
      </x:c>
      <x:c r="I1" s="8" t="inlineStr">
        <x:is>
          <x:t xml:space="preserve">业务负责人</x:t>
        </x:is>
      </x:c>
      <x:c r="J1" s="8" t="inlineStr">
        <x:is>
          <x:t xml:space="preserve">项目状态</x:t>
        </x:is>
      </x:c>
      <x:c r="K1" s="8" t="inlineStr">
        <x:is>
          <x:t xml:space="preserve">预计到期日</x:t>
        </x:is>
      </x:c>
    </x:row>
    <x:row r="2">
      <x:c r="A2" s="12" t="n"/>
      <x:c r="B2" s="12" t="n"/>
      <x:c r="C2" s="12" t="n"/>
      <x:c r="D2" s="12" t="n"/>
      <x:c r="E2" s="12" t="n"/>
      <x:c r="F2" s="14" t="n"/>
      <x:c r="G2" s="13" t="n"/>
      <x:c r="H2" s="12" t="n"/>
      <x:c r="I2" s="12" t="n"/>
      <x:c r="J2" s="12" t="n"/>
      <x:c r="K2" s="18">
        <x:f>IF(OR($G2="",$H2=""),"",$G2+$H2)</x:f>
      </x:c>
    </x:row>
    <x:row r="3">
      <x:c r="A3" s="12" t="n"/>
      <x:c r="B3" s="12" t="n"/>
      <x:c r="C3" s="12" t="n"/>
      <x:c r="D3" s="12" t="n"/>
      <x:c r="E3" s="12" t="n"/>
      <x:c r="F3" s="14" t="n"/>
      <x:c r="G3" s="13" t="n"/>
      <x:c r="H3" s="12" t="n"/>
      <x:c r="I3" s="12" t="n"/>
      <x:c r="J3" s="12" t="n"/>
      <x:c r="K3" s="18">
        <x:f>IF(OR($G3="",$H3=""),"",$G3+$H3)</x:f>
      </x:c>
    </x:row>
    <x:row r="4">
      <x:c r="A4" s="12" t="n"/>
      <x:c r="B4" s="12" t="n"/>
      <x:c r="C4" s="12" t="n"/>
      <x:c r="D4" s="12" t="n"/>
      <x:c r="E4" s="12" t="n"/>
      <x:c r="F4" s="14" t="n"/>
      <x:c r="G4" s="13" t="n"/>
      <x:c r="H4" s="12" t="n"/>
      <x:c r="I4" s="12" t="n"/>
      <x:c r="J4" s="12" t="n"/>
      <x:c r="K4" s="18">
        <x:f>IF(OR($G4="",$H4=""),"",$G4+$H4)</x:f>
      </x:c>
    </x:row>
    <x:row r="5">
      <x:c r="A5" s="12" t="n"/>
      <x:c r="B5" s="12" t="n"/>
      <x:c r="C5" s="12" t="n"/>
      <x:c r="D5" s="12" t="n"/>
      <x:c r="E5" s="12" t="n"/>
      <x:c r="F5" s="14" t="n"/>
      <x:c r="G5" s="13" t="n"/>
      <x:c r="H5" s="12" t="n"/>
      <x:c r="I5" s="12" t="n"/>
      <x:c r="J5" s="12" t="n"/>
      <x:c r="K5" s="18">
        <x:f>IF(OR($G5="",$H5=""),"",$G5+$H5)</x:f>
      </x:c>
    </x:row>
    <x:row r="6">
      <x:c r="A6" s="12" t="n"/>
      <x:c r="B6" s="12" t="n"/>
      <x:c r="C6" s="12" t="n"/>
      <x:c r="D6" s="12" t="n"/>
      <x:c r="E6" s="12" t="n"/>
      <x:c r="F6" s="14" t="n"/>
      <x:c r="G6" s="13" t="n"/>
      <x:c r="H6" s="12" t="n"/>
      <x:c r="I6" s="12" t="n"/>
      <x:c r="J6" s="12" t="n"/>
      <x:c r="K6" s="18">
        <x:f>IF(OR($G6="",$H6=""),"",$G6+$H6)</x:f>
      </x:c>
    </x:row>
    <x:row r="7">
      <x:c r="A7" s="12" t="n"/>
      <x:c r="B7" s="12" t="n"/>
      <x:c r="C7" s="12" t="n"/>
      <x:c r="D7" s="12" t="n"/>
      <x:c r="E7" s="12" t="n"/>
      <x:c r="F7" s="14" t="n"/>
      <x:c r="G7" s="13" t="n"/>
      <x:c r="H7" s="12" t="n"/>
      <x:c r="I7" s="12" t="n"/>
      <x:c r="J7" s="12" t="n"/>
      <x:c r="K7" s="18">
        <x:f>IF(OR($G7="",$H7=""),"",$G7+$H7)</x:f>
      </x:c>
    </x:row>
    <x:row r="8">
      <x:c r="A8" s="12" t="n"/>
      <x:c r="B8" s="12" t="n"/>
      <x:c r="C8" s="12" t="n"/>
      <x:c r="D8" s="12" t="n"/>
      <x:c r="E8" s="12" t="n"/>
      <x:c r="F8" s="14" t="n"/>
      <x:c r="G8" s="13" t="n"/>
      <x:c r="H8" s="12" t="n"/>
      <x:c r="I8" s="12" t="n"/>
      <x:c r="J8" s="12" t="n"/>
      <x:c r="K8" s="18">
        <x:f>IF(OR($G8="",$H8=""),"",$G8+$H8)</x:f>
      </x:c>
    </x:row>
    <x:row r="9">
      <x:c r="A9" s="12" t="n"/>
      <x:c r="B9" s="12" t="n"/>
      <x:c r="C9" s="12" t="n"/>
      <x:c r="D9" s="12" t="n"/>
      <x:c r="E9" s="12" t="n"/>
      <x:c r="F9" s="14" t="n"/>
      <x:c r="G9" s="13" t="n"/>
      <x:c r="H9" s="12" t="n"/>
      <x:c r="I9" s="12" t="n"/>
      <x:c r="J9" s="12" t="n"/>
      <x:c r="K9" s="18">
        <x:f>IF(OR($G9="",$H9=""),"",$G9+$H9)</x:f>
      </x:c>
    </x:row>
    <x:row r="10">
      <x:c r="A10" s="12" t="n"/>
      <x:c r="B10" s="12" t="n"/>
      <x:c r="C10" s="12" t="n"/>
      <x:c r="D10" s="12" t="n"/>
      <x:c r="E10" s="12" t="n"/>
      <x:c r="F10" s="14" t="n"/>
      <x:c r="G10" s="13" t="n"/>
      <x:c r="H10" s="12" t="n"/>
      <x:c r="I10" s="12" t="n"/>
      <x:c r="J10" s="12" t="n"/>
      <x:c r="K10" s="18">
        <x:f>IF(OR($G10="",$H10=""),"",$G10+$H10)</x:f>
      </x:c>
    </x:row>
    <x:row r="11">
      <x:c r="A11" s="12" t="n"/>
      <x:c r="B11" s="12" t="n"/>
      <x:c r="C11" s="12" t="n"/>
      <x:c r="D11" s="12" t="n"/>
      <x:c r="E11" s="12" t="n"/>
      <x:c r="F11" s="14" t="n"/>
      <x:c r="G11" s="13" t="n"/>
      <x:c r="H11" s="12" t="n"/>
      <x:c r="I11" s="12" t="n"/>
      <x:c r="J11" s="12" t="n"/>
      <x:c r="K11" s="18">
        <x:f>IF(OR($G11="",$H11=""),"",$G11+$H11)</x:f>
      </x:c>
    </x:row>
    <x:row r="12">
      <x:c r="A12" s="12" t="n"/>
      <x:c r="B12" s="12" t="n"/>
      <x:c r="C12" s="12" t="n"/>
      <x:c r="D12" s="12" t="n"/>
      <x:c r="E12" s="12" t="n"/>
      <x:c r="F12" s="14" t="n"/>
      <x:c r="G12" s="13" t="n"/>
      <x:c r="H12" s="12" t="n"/>
      <x:c r="I12" s="12" t="n"/>
      <x:c r="J12" s="12" t="n"/>
      <x:c r="K12" s="18">
        <x:f>IF(OR($G12="",$H12=""),"",$G12+$H12)</x:f>
      </x:c>
    </x:row>
    <x:row r="13">
      <x:c r="A13" s="12" t="n"/>
      <x:c r="B13" s="12" t="n"/>
      <x:c r="C13" s="12" t="n"/>
      <x:c r="D13" s="12" t="n"/>
      <x:c r="E13" s="12" t="n"/>
      <x:c r="F13" s="14" t="n"/>
      <x:c r="G13" s="13" t="n"/>
      <x:c r="H13" s="12" t="n"/>
      <x:c r="I13" s="12" t="n"/>
      <x:c r="J13" s="12" t="n"/>
      <x:c r="K13" s="18">
        <x:f>IF(OR($G13="",$H13=""),"",$G13+$H13)</x:f>
      </x:c>
    </x:row>
    <x:row r="14">
      <x:c r="A14" s="12" t="n"/>
      <x:c r="B14" s="12" t="n"/>
      <x:c r="C14" s="12" t="n"/>
      <x:c r="D14" s="12" t="n"/>
      <x:c r="E14" s="12" t="n"/>
      <x:c r="F14" s="14" t="n"/>
      <x:c r="G14" s="13" t="n"/>
      <x:c r="H14" s="12" t="n"/>
      <x:c r="I14" s="12" t="n"/>
      <x:c r="J14" s="12" t="n"/>
      <x:c r="K14" s="18">
        <x:f>IF(OR($G14="",$H14=""),"",$G14+$H14)</x:f>
      </x:c>
    </x:row>
    <x:row r="15">
      <x:c r="A15" s="12" t="n"/>
      <x:c r="B15" s="12" t="n"/>
      <x:c r="C15" s="12" t="n"/>
      <x:c r="D15" s="12" t="n"/>
      <x:c r="E15" s="12" t="n"/>
      <x:c r="F15" s="14" t="n"/>
      <x:c r="G15" s="13" t="n"/>
      <x:c r="H15" s="12" t="n"/>
      <x:c r="I15" s="12" t="n"/>
      <x:c r="J15" s="12" t="n"/>
      <x:c r="K15" s="18">
        <x:f>IF(OR($G15="",$H15=""),"",$G15+$H15)</x:f>
      </x:c>
    </x:row>
    <x:row r="16">
      <x:c r="A16" s="12" t="n"/>
      <x:c r="B16" s="12" t="n"/>
      <x:c r="C16" s="12" t="n"/>
      <x:c r="D16" s="12" t="n"/>
      <x:c r="E16" s="12" t="n"/>
      <x:c r="F16" s="14" t="n"/>
      <x:c r="G16" s="13" t="n"/>
      <x:c r="H16" s="12" t="n"/>
      <x:c r="I16" s="12" t="n"/>
      <x:c r="J16" s="12" t="n"/>
      <x:c r="K16" s="18">
        <x:f>IF(OR($G16="",$H16=""),"",$G16+$H16)</x:f>
      </x:c>
    </x:row>
    <x:row r="17">
      <x:c r="A17" s="12" t="n"/>
      <x:c r="B17" s="12" t="n"/>
      <x:c r="C17" s="12" t="n"/>
      <x:c r="D17" s="12" t="n"/>
      <x:c r="E17" s="12" t="n"/>
      <x:c r="F17" s="14" t="n"/>
      <x:c r="G17" s="13" t="n"/>
      <x:c r="H17" s="12" t="n"/>
      <x:c r="I17" s="12" t="n"/>
      <x:c r="J17" s="12" t="n"/>
      <x:c r="K17" s="18">
        <x:f>IF(OR($G17="",$H17=""),"",$G17+$H17)</x:f>
      </x:c>
    </x:row>
    <x:row r="18">
      <x:c r="A18" s="12" t="n"/>
      <x:c r="B18" s="12" t="n"/>
      <x:c r="C18" s="12" t="n"/>
      <x:c r="D18" s="12" t="n"/>
      <x:c r="E18" s="12" t="n"/>
      <x:c r="F18" s="14" t="n"/>
      <x:c r="G18" s="13" t="n"/>
      <x:c r="H18" s="12" t="n"/>
      <x:c r="I18" s="12" t="n"/>
      <x:c r="J18" s="12" t="n"/>
      <x:c r="K18" s="18">
        <x:f>IF(OR($G18="",$H18=""),"",$G18+$H18)</x:f>
      </x:c>
    </x:row>
    <x:row r="19">
      <x:c r="A19" s="12" t="n"/>
      <x:c r="B19" s="12" t="n"/>
      <x:c r="C19" s="12" t="n"/>
      <x:c r="D19" s="12" t="n"/>
      <x:c r="E19" s="12" t="n"/>
      <x:c r="F19" s="14" t="n"/>
      <x:c r="G19" s="13" t="n"/>
      <x:c r="H19" s="12" t="n"/>
      <x:c r="I19" s="12" t="n"/>
      <x:c r="J19" s="12" t="n"/>
      <x:c r="K19" s="18">
        <x:f>IF(OR($G19="",$H19=""),"",$G19+$H19)</x:f>
      </x:c>
    </x:row>
    <x:row r="20">
      <x:c r="A20" s="12" t="n"/>
      <x:c r="B20" s="12" t="n"/>
      <x:c r="C20" s="12" t="n"/>
      <x:c r="D20" s="12" t="n"/>
      <x:c r="E20" s="12" t="n"/>
      <x:c r="F20" s="14" t="n"/>
      <x:c r="G20" s="13" t="n"/>
      <x:c r="H20" s="12" t="n"/>
      <x:c r="I20" s="12" t="n"/>
      <x:c r="J20" s="12" t="n"/>
      <x:c r="K20" s="18">
        <x:f>IF(OR($G20="",$H20=""),"",$G20+$H20)</x:f>
      </x:c>
    </x:row>
    <x:row r="21">
      <x:c r="A21" s="12" t="n"/>
      <x:c r="B21" s="12" t="n"/>
      <x:c r="C21" s="12" t="n"/>
      <x:c r="D21" s="12" t="n"/>
      <x:c r="E21" s="12" t="n"/>
      <x:c r="F21" s="14" t="n"/>
      <x:c r="G21" s="13" t="n"/>
      <x:c r="H21" s="12" t="n"/>
      <x:c r="I21" s="12" t="n"/>
      <x:c r="J21" s="12" t="n"/>
      <x:c r="K21" s="18">
        <x:f>IF(OR($G21="",$H21=""),"",$G21+$H21)</x:f>
      </x:c>
    </x:row>
    <x:row r="22">
      <x:c r="A22" s="12" t="n"/>
      <x:c r="B22" s="12" t="n"/>
      <x:c r="C22" s="12" t="n"/>
      <x:c r="D22" s="12" t="n"/>
      <x:c r="E22" s="12" t="n"/>
      <x:c r="F22" s="14" t="n"/>
      <x:c r="G22" s="13" t="n"/>
      <x:c r="H22" s="12" t="n"/>
      <x:c r="I22" s="12" t="n"/>
      <x:c r="J22" s="12" t="n"/>
      <x:c r="K22" s="18">
        <x:f>IF(OR($G22="",$H22=""),"",$G22+$H22)</x:f>
      </x:c>
    </x:row>
    <x:row r="23">
      <x:c r="A23" s="12" t="n"/>
      <x:c r="B23" s="12" t="n"/>
      <x:c r="C23" s="12" t="n"/>
      <x:c r="D23" s="12" t="n"/>
      <x:c r="E23" s="12" t="n"/>
      <x:c r="F23" s="14" t="n"/>
      <x:c r="G23" s="13" t="n"/>
      <x:c r="H23" s="12" t="n"/>
      <x:c r="I23" s="12" t="n"/>
      <x:c r="J23" s="12" t="n"/>
      <x:c r="K23" s="18">
        <x:f>IF(OR($G23="",$H23=""),"",$G23+$H23)</x:f>
      </x:c>
    </x:row>
    <x:row r="24">
      <x:c r="A24" s="12" t="n"/>
      <x:c r="B24" s="12" t="n"/>
      <x:c r="C24" s="12" t="n"/>
      <x:c r="D24" s="12" t="n"/>
      <x:c r="E24" s="12" t="n"/>
      <x:c r="F24" s="14" t="n"/>
      <x:c r="G24" s="13" t="n"/>
      <x:c r="H24" s="12" t="n"/>
      <x:c r="I24" s="12" t="n"/>
      <x:c r="J24" s="12" t="n"/>
      <x:c r="K24" s="18">
        <x:f>IF(OR($G24="",$H24=""),"",$G24+$H24)</x:f>
      </x:c>
    </x:row>
    <x:row r="25">
      <x:c r="A25" s="12" t="n"/>
      <x:c r="B25" s="12" t="n"/>
      <x:c r="C25" s="12" t="n"/>
      <x:c r="D25" s="12" t="n"/>
      <x:c r="E25" s="12" t="n"/>
      <x:c r="F25" s="14" t="n"/>
      <x:c r="G25" s="13" t="n"/>
      <x:c r="H25" s="12" t="n"/>
      <x:c r="I25" s="12" t="n"/>
      <x:c r="J25" s="12" t="n"/>
      <x:c r="K25" s="18">
        <x:f>IF(OR($G25="",$H25=""),"",$G25+$H25)</x:f>
      </x:c>
    </x:row>
    <x:row r="26">
      <x:c r="A26" s="12" t="n"/>
      <x:c r="B26" s="12" t="n"/>
      <x:c r="C26" s="12" t="n"/>
      <x:c r="D26" s="12" t="n"/>
      <x:c r="E26" s="12" t="n"/>
      <x:c r="F26" s="14" t="n"/>
      <x:c r="G26" s="13" t="n"/>
      <x:c r="H26" s="12" t="n"/>
      <x:c r="I26" s="12" t="n"/>
      <x:c r="J26" s="12" t="n"/>
      <x:c r="K26" s="18">
        <x:f>IF(OR($G26="",$H26=""),"",$G26+$H26)</x:f>
      </x:c>
    </x:row>
    <x:row r="27">
      <x:c r="A27" s="12" t="n"/>
      <x:c r="B27" s="12" t="n"/>
      <x:c r="C27" s="12" t="n"/>
      <x:c r="D27" s="12" t="n"/>
      <x:c r="E27" s="12" t="n"/>
      <x:c r="F27" s="14" t="n"/>
      <x:c r="G27" s="13" t="n"/>
      <x:c r="H27" s="12" t="n"/>
      <x:c r="I27" s="12" t="n"/>
      <x:c r="J27" s="12" t="n"/>
      <x:c r="K27" s="18">
        <x:f>IF(OR($G27="",$H27=""),"",$G27+$H27)</x:f>
      </x:c>
    </x:row>
    <x:row r="28">
      <x:c r="A28" s="12" t="n"/>
      <x:c r="B28" s="12" t="n"/>
      <x:c r="C28" s="12" t="n"/>
      <x:c r="D28" s="12" t="n"/>
      <x:c r="E28" s="12" t="n"/>
      <x:c r="F28" s="14" t="n"/>
      <x:c r="G28" s="13" t="n"/>
      <x:c r="H28" s="12" t="n"/>
      <x:c r="I28" s="12" t="n"/>
      <x:c r="J28" s="12" t="n"/>
      <x:c r="K28" s="18">
        <x:f>IF(OR($G28="",$H28=""),"",$G28+$H28)</x:f>
      </x:c>
    </x:row>
    <x:row r="29">
      <x:c r="A29" s="12" t="n"/>
      <x:c r="B29" s="12" t="n"/>
      <x:c r="C29" s="12" t="n"/>
      <x:c r="D29" s="12" t="n"/>
      <x:c r="E29" s="12" t="n"/>
      <x:c r="F29" s="14" t="n"/>
      <x:c r="G29" s="13" t="n"/>
      <x:c r="H29" s="12" t="n"/>
      <x:c r="I29" s="12" t="n"/>
      <x:c r="J29" s="12" t="n"/>
      <x:c r="K29" s="18">
        <x:f>IF(OR($G29="",$H29=""),"",$G29+$H29)</x:f>
      </x:c>
    </x:row>
    <x:row r="30">
      <x:c r="A30" s="12" t="n"/>
      <x:c r="B30" s="12" t="n"/>
      <x:c r="C30" s="12" t="n"/>
      <x:c r="D30" s="12" t="n"/>
      <x:c r="E30" s="12" t="n"/>
      <x:c r="F30" s="14" t="n"/>
      <x:c r="G30" s="13" t="n"/>
      <x:c r="H30" s="12" t="n"/>
      <x:c r="I30" s="12" t="n"/>
      <x:c r="J30" s="12" t="n"/>
      <x:c r="K30" s="18">
        <x:f>IF(OR($G30="",$H30=""),"",$G30+$H30)</x:f>
      </x:c>
    </x:row>
    <x:row r="31">
      <x:c r="A31" s="12" t="n"/>
      <x:c r="B31" s="12" t="n"/>
      <x:c r="C31" s="12" t="n"/>
      <x:c r="D31" s="12" t="n"/>
      <x:c r="E31" s="12" t="n"/>
      <x:c r="F31" s="14" t="n"/>
      <x:c r="G31" s="13" t="n"/>
      <x:c r="H31" s="12" t="n"/>
      <x:c r="I31" s="12" t="n"/>
      <x:c r="J31" s="12" t="n"/>
      <x:c r="K31" s="18">
        <x:f>IF(OR($G31="",$H31=""),"",$G31+$H31)</x:f>
      </x:c>
    </x:row>
    <x:row r="32">
      <x:c r="A32" s="12" t="n"/>
      <x:c r="B32" s="12" t="n"/>
      <x:c r="C32" s="12" t="n"/>
      <x:c r="D32" s="12" t="n"/>
      <x:c r="E32" s="12" t="n"/>
      <x:c r="F32" s="14" t="n"/>
      <x:c r="G32" s="13" t="n"/>
      <x:c r="H32" s="12" t="n"/>
      <x:c r="I32" s="12" t="n"/>
      <x:c r="J32" s="12" t="n"/>
      <x:c r="K32" s="18">
        <x:f>IF(OR($G32="",$H32=""),"",$G32+$H32)</x:f>
      </x:c>
    </x:row>
    <x:row r="33">
      <x:c r="A33" s="12" t="n"/>
      <x:c r="B33" s="12" t="n"/>
      <x:c r="C33" s="12" t="n"/>
      <x:c r="D33" s="12" t="n"/>
      <x:c r="E33" s="12" t="n"/>
      <x:c r="F33" s="14" t="n"/>
      <x:c r="G33" s="13" t="n"/>
      <x:c r="H33" s="12" t="n"/>
      <x:c r="I33" s="12" t="n"/>
      <x:c r="J33" s="12" t="n"/>
      <x:c r="K33" s="18">
        <x:f>IF(OR($G33="",$H33=""),"",$G33+$H33)</x:f>
      </x:c>
    </x:row>
    <x:row r="34">
      <x:c r="A34" s="12" t="n"/>
      <x:c r="B34" s="12" t="n"/>
      <x:c r="C34" s="12" t="n"/>
      <x:c r="D34" s="12" t="n"/>
      <x:c r="E34" s="12" t="n"/>
      <x:c r="F34" s="14" t="n"/>
      <x:c r="G34" s="13" t="n"/>
      <x:c r="H34" s="12" t="n"/>
      <x:c r="I34" s="12" t="n"/>
      <x:c r="J34" s="12" t="n"/>
      <x:c r="K34" s="18">
        <x:f>IF(OR($G34="",$H34=""),"",$G34+$H34)</x:f>
      </x:c>
    </x:row>
    <x:row r="35">
      <x:c r="A35" s="12" t="n"/>
      <x:c r="B35" s="12" t="n"/>
      <x:c r="C35" s="12" t="n"/>
      <x:c r="D35" s="12" t="n"/>
      <x:c r="E35" s="12" t="n"/>
      <x:c r="F35" s="14" t="n"/>
      <x:c r="G35" s="13" t="n"/>
      <x:c r="H35" s="12" t="n"/>
      <x:c r="I35" s="12" t="n"/>
      <x:c r="J35" s="12" t="n"/>
      <x:c r="K35" s="18">
        <x:f>IF(OR($G35="",$H35=""),"",$G35+$H35)</x:f>
      </x:c>
    </x:row>
    <x:row r="36">
      <x:c r="A36" s="12" t="n"/>
      <x:c r="B36" s="12" t="n"/>
      <x:c r="C36" s="12" t="n"/>
      <x:c r="D36" s="12" t="n"/>
      <x:c r="E36" s="12" t="n"/>
      <x:c r="F36" s="14" t="n"/>
      <x:c r="G36" s="13" t="n"/>
      <x:c r="H36" s="12" t="n"/>
      <x:c r="I36" s="12" t="n"/>
      <x:c r="J36" s="12" t="n"/>
      <x:c r="K36" s="18">
        <x:f>IF(OR($G36="",$H36=""),"",$G36+$H36)</x:f>
      </x:c>
    </x:row>
    <x:row r="37">
      <x:c r="A37" s="12" t="n"/>
      <x:c r="B37" s="12" t="n"/>
      <x:c r="C37" s="12" t="n"/>
      <x:c r="D37" s="12" t="n"/>
      <x:c r="E37" s="12" t="n"/>
      <x:c r="F37" s="14" t="n"/>
      <x:c r="G37" s="13" t="n"/>
      <x:c r="H37" s="12" t="n"/>
      <x:c r="I37" s="12" t="n"/>
      <x:c r="J37" s="12" t="n"/>
      <x:c r="K37" s="18">
        <x:f>IF(OR($G37="",$H37=""),"",$G37+$H37)</x:f>
      </x:c>
    </x:row>
    <x:row r="38">
      <x:c r="A38" s="12" t="n"/>
      <x:c r="B38" s="12" t="n"/>
      <x:c r="C38" s="12" t="n"/>
      <x:c r="D38" s="12" t="n"/>
      <x:c r="E38" s="12" t="n"/>
      <x:c r="F38" s="14" t="n"/>
      <x:c r="G38" s="13" t="n"/>
      <x:c r="H38" s="12" t="n"/>
      <x:c r="I38" s="12" t="n"/>
      <x:c r="J38" s="12" t="n"/>
      <x:c r="K38" s="18">
        <x:f>IF(OR($G38="",$H38=""),"",$G38+$H38)</x:f>
      </x:c>
    </x:row>
    <x:row r="39">
      <x:c r="A39" s="12" t="n"/>
      <x:c r="B39" s="12" t="n"/>
      <x:c r="C39" s="12" t="n"/>
      <x:c r="D39" s="12" t="n"/>
      <x:c r="E39" s="12" t="n"/>
      <x:c r="F39" s="14" t="n"/>
      <x:c r="G39" s="13" t="n"/>
      <x:c r="H39" s="12" t="n"/>
      <x:c r="I39" s="12" t="n"/>
      <x:c r="J39" s="12" t="n"/>
      <x:c r="K39" s="18">
        <x:f>IF(OR($G39="",$H39=""),"",$G39+$H39)</x:f>
      </x:c>
    </x:row>
    <x:row r="40">
      <x:c r="A40" s="12" t="n"/>
      <x:c r="B40" s="12" t="n"/>
      <x:c r="C40" s="12" t="n"/>
      <x:c r="D40" s="12" t="n"/>
      <x:c r="E40" s="12" t="n"/>
      <x:c r="F40" s="14" t="n"/>
      <x:c r="G40" s="13" t="n"/>
      <x:c r="H40" s="12" t="n"/>
      <x:c r="I40" s="12" t="n"/>
      <x:c r="J40" s="12" t="n"/>
      <x:c r="K40" s="18">
        <x:f>IF(OR($G40="",$H40=""),"",$G40+$H40)</x:f>
      </x:c>
    </x:row>
    <x:row r="41">
      <x:c r="A41" s="12" t="n"/>
      <x:c r="B41" s="12" t="n"/>
      <x:c r="C41" s="12" t="n"/>
      <x:c r="D41" s="12" t="n"/>
      <x:c r="E41" s="12" t="n"/>
      <x:c r="F41" s="14" t="n"/>
      <x:c r="G41" s="13" t="n"/>
      <x:c r="H41" s="12" t="n"/>
      <x:c r="I41" s="12" t="n"/>
      <x:c r="J41" s="12" t="n"/>
      <x:c r="K41" s="18">
        <x:f>IF(OR($G41="",$H41=""),"",$G41+$H41)</x:f>
      </x:c>
    </x:row>
    <x:row r="42">
      <x:c r="A42" s="12" t="n"/>
      <x:c r="B42" s="12" t="n"/>
      <x:c r="C42" s="12" t="n"/>
      <x:c r="D42" s="12" t="n"/>
      <x:c r="E42" s="12" t="n"/>
      <x:c r="F42" s="14" t="n"/>
      <x:c r="G42" s="13" t="n"/>
      <x:c r="H42" s="12" t="n"/>
      <x:c r="I42" s="12" t="n"/>
      <x:c r="J42" s="12" t="n"/>
      <x:c r="K42" s="18">
        <x:f>IF(OR($G42="",$H42=""),"",$G42+$H42)</x:f>
      </x:c>
    </x:row>
    <x:row r="43">
      <x:c r="A43" s="12" t="n"/>
      <x:c r="B43" s="12" t="n"/>
      <x:c r="C43" s="12" t="n"/>
      <x:c r="D43" s="12" t="n"/>
      <x:c r="E43" s="12" t="n"/>
      <x:c r="F43" s="14" t="n"/>
      <x:c r="G43" s="13" t="n"/>
      <x:c r="H43" s="12" t="n"/>
      <x:c r="I43" s="12" t="n"/>
      <x:c r="J43" s="12" t="n"/>
      <x:c r="K43" s="18">
        <x:f>IF(OR($G43="",$H43=""),"",$G43+$H43)</x:f>
      </x:c>
    </x:row>
    <x:row r="44">
      <x:c r="A44" s="12" t="n"/>
      <x:c r="B44" s="12" t="n"/>
      <x:c r="C44" s="12" t="n"/>
      <x:c r="D44" s="12" t="n"/>
      <x:c r="E44" s="12" t="n"/>
      <x:c r="F44" s="14" t="n"/>
      <x:c r="G44" s="13" t="n"/>
      <x:c r="H44" s="12" t="n"/>
      <x:c r="I44" s="12" t="n"/>
      <x:c r="J44" s="12" t="n"/>
      <x:c r="K44" s="18">
        <x:f>IF(OR($G44="",$H44=""),"",$G44+$H44)</x:f>
      </x:c>
    </x:row>
    <x:row r="45">
      <x:c r="A45" s="12" t="n"/>
      <x:c r="B45" s="12" t="n"/>
      <x:c r="C45" s="12" t="n"/>
      <x:c r="D45" s="12" t="n"/>
      <x:c r="E45" s="12" t="n"/>
      <x:c r="F45" s="14" t="n"/>
      <x:c r="G45" s="13" t="n"/>
      <x:c r="H45" s="12" t="n"/>
      <x:c r="I45" s="12" t="n"/>
      <x:c r="J45" s="12" t="n"/>
      <x:c r="K45" s="18">
        <x:f>IF(OR($G45="",$H45=""),"",$G45+$H45)</x:f>
      </x:c>
    </x:row>
    <x:row r="46">
      <x:c r="A46" s="12" t="n"/>
      <x:c r="B46" s="12" t="n"/>
      <x:c r="C46" s="12" t="n"/>
      <x:c r="D46" s="12" t="n"/>
      <x:c r="E46" s="12" t="n"/>
      <x:c r="F46" s="14" t="n"/>
      <x:c r="G46" s="13" t="n"/>
      <x:c r="H46" s="12" t="n"/>
      <x:c r="I46" s="12" t="n"/>
      <x:c r="J46" s="12" t="n"/>
      <x:c r="K46" s="18">
        <x:f>IF(OR($G46="",$H46=""),"",$G46+$H46)</x:f>
      </x:c>
    </x:row>
    <x:row r="47">
      <x:c r="A47" s="12" t="n"/>
      <x:c r="B47" s="12" t="n"/>
      <x:c r="C47" s="12" t="n"/>
      <x:c r="D47" s="12" t="n"/>
      <x:c r="E47" s="12" t="n"/>
      <x:c r="F47" s="14" t="n"/>
      <x:c r="G47" s="13" t="n"/>
      <x:c r="H47" s="12" t="n"/>
      <x:c r="I47" s="12" t="n"/>
      <x:c r="J47" s="12" t="n"/>
      <x:c r="K47" s="18">
        <x:f>IF(OR($G47="",$H47=""),"",$G47+$H47)</x:f>
      </x:c>
    </x:row>
    <x:row r="48">
      <x:c r="A48" s="12" t="n"/>
      <x:c r="B48" s="12" t="n"/>
      <x:c r="C48" s="12" t="n"/>
      <x:c r="D48" s="12" t="n"/>
      <x:c r="E48" s="12" t="n"/>
      <x:c r="F48" s="14" t="n"/>
      <x:c r="G48" s="13" t="n"/>
      <x:c r="H48" s="12" t="n"/>
      <x:c r="I48" s="12" t="n"/>
      <x:c r="J48" s="12" t="n"/>
      <x:c r="K48" s="18">
        <x:f>IF(OR($G48="",$H48=""),"",$G48+$H48)</x:f>
      </x:c>
    </x:row>
    <x:row r="49">
      <x:c r="A49" s="12" t="n"/>
      <x:c r="B49" s="12" t="n"/>
      <x:c r="C49" s="12" t="n"/>
      <x:c r="D49" s="12" t="n"/>
      <x:c r="E49" s="12" t="n"/>
      <x:c r="F49" s="14" t="n"/>
      <x:c r="G49" s="13" t="n"/>
      <x:c r="H49" s="12" t="n"/>
      <x:c r="I49" s="12" t="n"/>
      <x:c r="J49" s="12" t="n"/>
      <x:c r="K49" s="18">
        <x:f>IF(OR($G49="",$H49=""),"",$G49+$H49)</x:f>
      </x:c>
    </x:row>
    <x:row r="50">
      <x:c r="A50" s="12" t="n"/>
      <x:c r="B50" s="12" t="n"/>
      <x:c r="C50" s="12" t="n"/>
      <x:c r="D50" s="12" t="n"/>
      <x:c r="E50" s="12" t="n"/>
      <x:c r="F50" s="14" t="n"/>
      <x:c r="G50" s="13" t="n"/>
      <x:c r="H50" s="12" t="n"/>
      <x:c r="I50" s="12" t="n"/>
      <x:c r="J50" s="12" t="n"/>
      <x:c r="K50" s="18">
        <x:f>IF(OR($G50="",$H50=""),"",$G50+$H50)</x:f>
      </x:c>
    </x:row>
    <x:row r="51">
      <x:c r="A51" s="12" t="n"/>
      <x:c r="B51" s="12" t="n"/>
      <x:c r="C51" s="12" t="n"/>
      <x:c r="D51" s="12" t="n"/>
      <x:c r="E51" s="12" t="n"/>
      <x:c r="F51" s="14" t="n"/>
      <x:c r="G51" s="13" t="n"/>
      <x:c r="H51" s="12" t="n"/>
      <x:c r="I51" s="12" t="n"/>
      <x:c r="J51" s="12" t="n"/>
      <x:c r="K51" s="18">
        <x:f>IF(OR($G51="",$H51=""),"",$G51+$H51)</x:f>
      </x:c>
    </x:row>
    <x:row r="52">
      <x:c r="A52" s="12" t="n"/>
      <x:c r="B52" s="12" t="n"/>
      <x:c r="C52" s="12" t="n"/>
      <x:c r="D52" s="12" t="n"/>
      <x:c r="E52" s="12" t="n"/>
      <x:c r="F52" s="14" t="n"/>
      <x:c r="G52" s="13" t="n"/>
      <x:c r="H52" s="12" t="n"/>
      <x:c r="I52" s="12" t="n"/>
      <x:c r="J52" s="12" t="n"/>
      <x:c r="K52" s="18">
        <x:f>IF(OR($G52="",$H52=""),"",$G52+$H52)</x:f>
      </x:c>
    </x:row>
    <x:row r="53">
      <x:c r="A53" s="12" t="n"/>
      <x:c r="B53" s="12" t="n"/>
      <x:c r="C53" s="12" t="n"/>
      <x:c r="D53" s="12" t="n"/>
      <x:c r="E53" s="12" t="n"/>
      <x:c r="F53" s="14" t="n"/>
      <x:c r="G53" s="13" t="n"/>
      <x:c r="H53" s="12" t="n"/>
      <x:c r="I53" s="12" t="n"/>
      <x:c r="J53" s="12" t="n"/>
      <x:c r="K53" s="18">
        <x:f>IF(OR($G53="",$H53=""),"",$G53+$H53)</x:f>
      </x:c>
    </x:row>
    <x:row r="54">
      <x:c r="A54" s="12" t="n"/>
      <x:c r="B54" s="12" t="n"/>
      <x:c r="C54" s="12" t="n"/>
      <x:c r="D54" s="12" t="n"/>
      <x:c r="E54" s="12" t="n"/>
      <x:c r="F54" s="14" t="n"/>
      <x:c r="G54" s="13" t="n"/>
      <x:c r="H54" s="12" t="n"/>
      <x:c r="I54" s="12" t="n"/>
      <x:c r="J54" s="12" t="n"/>
      <x:c r="K54" s="18">
        <x:f>IF(OR($G54="",$H54=""),"",$G54+$H54)</x:f>
      </x:c>
    </x:row>
    <x:row r="55">
      <x:c r="A55" s="12" t="n"/>
      <x:c r="B55" s="12" t="n"/>
      <x:c r="C55" s="12" t="n"/>
      <x:c r="D55" s="12" t="n"/>
      <x:c r="E55" s="12" t="n"/>
      <x:c r="F55" s="14" t="n"/>
      <x:c r="G55" s="13" t="n"/>
      <x:c r="H55" s="12" t="n"/>
      <x:c r="I55" s="12" t="n"/>
      <x:c r="J55" s="12" t="n"/>
      <x:c r="K55" s="18">
        <x:f>IF(OR($G55="",$H55=""),"",$G55+$H55)</x:f>
      </x:c>
    </x:row>
    <x:row r="56">
      <x:c r="A56" s="12" t="n"/>
      <x:c r="B56" s="12" t="n"/>
      <x:c r="C56" s="12" t="n"/>
      <x:c r="D56" s="12" t="n"/>
      <x:c r="E56" s="12" t="n"/>
      <x:c r="F56" s="14" t="n"/>
      <x:c r="G56" s="13" t="n"/>
      <x:c r="H56" s="12" t="n"/>
      <x:c r="I56" s="12" t="n"/>
      <x:c r="J56" s="12" t="n"/>
      <x:c r="K56" s="18">
        <x:f>IF(OR($G56="",$H56=""),"",$G56+$H56)</x:f>
      </x:c>
    </x:row>
    <x:row r="57">
      <x:c r="A57" s="12" t="n"/>
      <x:c r="B57" s="12" t="n"/>
      <x:c r="C57" s="12" t="n"/>
      <x:c r="D57" s="12" t="n"/>
      <x:c r="E57" s="12" t="n"/>
      <x:c r="F57" s="14" t="n"/>
      <x:c r="G57" s="13" t="n"/>
      <x:c r="H57" s="12" t="n"/>
      <x:c r="I57" s="12" t="n"/>
      <x:c r="J57" s="12" t="n"/>
      <x:c r="K57" s="18">
        <x:f>IF(OR($G57="",$H57=""),"",$G57+$H57)</x:f>
      </x:c>
    </x:row>
    <x:row r="58">
      <x:c r="A58" s="12" t="n"/>
      <x:c r="B58" s="12" t="n"/>
      <x:c r="C58" s="12" t="n"/>
      <x:c r="D58" s="12" t="n"/>
      <x:c r="E58" s="12" t="n"/>
      <x:c r="F58" s="14" t="n"/>
      <x:c r="G58" s="13" t="n"/>
      <x:c r="H58" s="12" t="n"/>
      <x:c r="I58" s="12" t="n"/>
      <x:c r="J58" s="12" t="n"/>
      <x:c r="K58" s="18">
        <x:f>IF(OR($G58="",$H58=""),"",$G58+$H58)</x:f>
      </x:c>
    </x:row>
    <x:row r="59">
      <x:c r="A59" s="12" t="n"/>
      <x:c r="B59" s="12" t="n"/>
      <x:c r="C59" s="12" t="n"/>
      <x:c r="D59" s="12" t="n"/>
      <x:c r="E59" s="12" t="n"/>
      <x:c r="F59" s="14" t="n"/>
      <x:c r="G59" s="13" t="n"/>
      <x:c r="H59" s="12" t="n"/>
      <x:c r="I59" s="12" t="n"/>
      <x:c r="J59" s="12" t="n"/>
      <x:c r="K59" s="18">
        <x:f>IF(OR($G59="",$H59=""),"",$G59+$H59)</x:f>
      </x:c>
    </x:row>
    <x:row r="60">
      <x:c r="A60" s="12" t="n"/>
      <x:c r="B60" s="12" t="n"/>
      <x:c r="C60" s="12" t="n"/>
      <x:c r="D60" s="12" t="n"/>
      <x:c r="E60" s="12" t="n"/>
      <x:c r="F60" s="14" t="n"/>
      <x:c r="G60" s="13" t="n"/>
      <x:c r="H60" s="12" t="n"/>
      <x:c r="I60" s="12" t="n"/>
      <x:c r="J60" s="12" t="n"/>
      <x:c r="K60" s="18">
        <x:f>IF(OR($G60="",$H60=""),"",$G60+$H60)</x:f>
      </x:c>
    </x:row>
    <x:row r="61">
      <x:c r="A61" s="12" t="n"/>
      <x:c r="B61" s="12" t="n"/>
      <x:c r="C61" s="12" t="n"/>
      <x:c r="D61" s="12" t="n"/>
      <x:c r="E61" s="12" t="n"/>
      <x:c r="F61" s="14" t="n"/>
      <x:c r="G61" s="13" t="n"/>
      <x:c r="H61" s="12" t="n"/>
      <x:c r="I61" s="12" t="n"/>
      <x:c r="J61" s="12" t="n"/>
      <x:c r="K61" s="18">
        <x:f>IF(OR($G61="",$H61=""),"",$G61+$H61)</x:f>
      </x:c>
    </x:row>
    <x:row r="62">
      <x:c r="A62" s="12" t="n"/>
      <x:c r="B62" s="12" t="n"/>
      <x:c r="C62" s="12" t="n"/>
      <x:c r="D62" s="12" t="n"/>
      <x:c r="E62" s="12" t="n"/>
      <x:c r="F62" s="14" t="n"/>
      <x:c r="G62" s="13" t="n"/>
      <x:c r="H62" s="12" t="n"/>
      <x:c r="I62" s="12" t="n"/>
      <x:c r="J62" s="12" t="n"/>
      <x:c r="K62" s="18">
        <x:f>IF(OR($G62="",$H62=""),"",$G62+$H62)</x:f>
      </x:c>
    </x:row>
    <x:row r="63">
      <x:c r="A63" s="12" t="n"/>
      <x:c r="B63" s="12" t="n"/>
      <x:c r="C63" s="12" t="n"/>
      <x:c r="D63" s="12" t="n"/>
      <x:c r="E63" s="12" t="n"/>
      <x:c r="F63" s="14" t="n"/>
      <x:c r="G63" s="13" t="n"/>
      <x:c r="H63" s="12" t="n"/>
      <x:c r="I63" s="12" t="n"/>
      <x:c r="J63" s="12" t="n"/>
      <x:c r="K63" s="18">
        <x:f>IF(OR($G63="",$H63=""),"",$G63+$H63)</x:f>
      </x:c>
    </x:row>
    <x:row r="64">
      <x:c r="A64" s="12" t="n"/>
      <x:c r="B64" s="12" t="n"/>
      <x:c r="C64" s="12" t="n"/>
      <x:c r="D64" s="12" t="n"/>
      <x:c r="E64" s="12" t="n"/>
      <x:c r="F64" s="14" t="n"/>
      <x:c r="G64" s="13" t="n"/>
      <x:c r="H64" s="12" t="n"/>
      <x:c r="I64" s="12" t="n"/>
      <x:c r="J64" s="12" t="n"/>
      <x:c r="K64" s="18">
        <x:f>IF(OR($G64="",$H64=""),"",$G64+$H64)</x:f>
      </x:c>
    </x:row>
    <x:row r="65">
      <x:c r="A65" s="12" t="n"/>
      <x:c r="B65" s="12" t="n"/>
      <x:c r="C65" s="12" t="n"/>
      <x:c r="D65" s="12" t="n"/>
      <x:c r="E65" s="12" t="n"/>
      <x:c r="F65" s="14" t="n"/>
      <x:c r="G65" s="13" t="n"/>
      <x:c r="H65" s="12" t="n"/>
      <x:c r="I65" s="12" t="n"/>
      <x:c r="J65" s="12" t="n"/>
      <x:c r="K65" s="18">
        <x:f>IF(OR($G65="",$H65=""),"",$G65+$H65)</x:f>
      </x:c>
    </x:row>
    <x:row r="66">
      <x:c r="A66" s="12" t="n"/>
      <x:c r="B66" s="12" t="n"/>
      <x:c r="C66" s="12" t="n"/>
      <x:c r="D66" s="12" t="n"/>
      <x:c r="E66" s="12" t="n"/>
      <x:c r="F66" s="14" t="n"/>
      <x:c r="G66" s="13" t="n"/>
      <x:c r="H66" s="12" t="n"/>
      <x:c r="I66" s="12" t="n"/>
      <x:c r="J66" s="12" t="n"/>
      <x:c r="K66" s="18">
        <x:f>IF(OR($G66="",$H66=""),"",$G66+$H66)</x:f>
      </x:c>
    </x:row>
    <x:row r="67">
      <x:c r="A67" s="12" t="n"/>
      <x:c r="B67" s="12" t="n"/>
      <x:c r="C67" s="12" t="n"/>
      <x:c r="D67" s="12" t="n"/>
      <x:c r="E67" s="12" t="n"/>
      <x:c r="F67" s="14" t="n"/>
      <x:c r="G67" s="13" t="n"/>
      <x:c r="H67" s="12" t="n"/>
      <x:c r="I67" s="12" t="n"/>
      <x:c r="J67" s="12" t="n"/>
      <x:c r="K67" s="18">
        <x:f>IF(OR($G67="",$H67=""),"",$G67+$H67)</x:f>
      </x:c>
    </x:row>
    <x:row r="68">
      <x:c r="A68" s="12" t="n"/>
      <x:c r="B68" s="12" t="n"/>
      <x:c r="C68" s="12" t="n"/>
      <x:c r="D68" s="12" t="n"/>
      <x:c r="E68" s="12" t="n"/>
      <x:c r="F68" s="14" t="n"/>
      <x:c r="G68" s="13" t="n"/>
      <x:c r="H68" s="12" t="n"/>
      <x:c r="I68" s="12" t="n"/>
      <x:c r="J68" s="12" t="n"/>
      <x:c r="K68" s="18">
        <x:f>IF(OR($G68="",$H68=""),"",$G68+$H68)</x:f>
      </x:c>
    </x:row>
    <x:row r="69">
      <x:c r="A69" s="12" t="n"/>
      <x:c r="B69" s="12" t="n"/>
      <x:c r="C69" s="12" t="n"/>
      <x:c r="D69" s="12" t="n"/>
      <x:c r="E69" s="12" t="n"/>
      <x:c r="F69" s="14" t="n"/>
      <x:c r="G69" s="13" t="n"/>
      <x:c r="H69" s="12" t="n"/>
      <x:c r="I69" s="12" t="n"/>
      <x:c r="J69" s="12" t="n"/>
      <x:c r="K69" s="18">
        <x:f>IF(OR($G69="",$H69=""),"",$G69+$H69)</x:f>
      </x:c>
    </x:row>
    <x:row r="70">
      <x:c r="A70" s="12" t="n"/>
      <x:c r="B70" s="12" t="n"/>
      <x:c r="C70" s="12" t="n"/>
      <x:c r="D70" s="12" t="n"/>
      <x:c r="E70" s="12" t="n"/>
      <x:c r="F70" s="14" t="n"/>
      <x:c r="G70" s="13" t="n"/>
      <x:c r="H70" s="12" t="n"/>
      <x:c r="I70" s="12" t="n"/>
      <x:c r="J70" s="12" t="n"/>
      <x:c r="K70" s="18">
        <x:f>IF(OR($G70="",$H70=""),"",$G70+$H70)</x:f>
      </x:c>
    </x:row>
    <x:row r="71">
      <x:c r="A71" s="12" t="n"/>
      <x:c r="B71" s="12" t="n"/>
      <x:c r="C71" s="12" t="n"/>
      <x:c r="D71" s="12" t="n"/>
      <x:c r="E71" s="12" t="n"/>
      <x:c r="F71" s="14" t="n"/>
      <x:c r="G71" s="13" t="n"/>
      <x:c r="H71" s="12" t="n"/>
      <x:c r="I71" s="12" t="n"/>
      <x:c r="J71" s="12" t="n"/>
      <x:c r="K71" s="18">
        <x:f>IF(OR($G71="",$H71=""),"",$G71+$H71)</x:f>
      </x:c>
    </x:row>
    <x:row r="72">
      <x:c r="A72" s="12" t="n"/>
      <x:c r="B72" s="12" t="n"/>
      <x:c r="C72" s="12" t="n"/>
      <x:c r="D72" s="12" t="n"/>
      <x:c r="E72" s="12" t="n"/>
      <x:c r="F72" s="14" t="n"/>
      <x:c r="G72" s="13" t="n"/>
      <x:c r="H72" s="12" t="n"/>
      <x:c r="I72" s="12" t="n"/>
      <x:c r="J72" s="12" t="n"/>
      <x:c r="K72" s="18">
        <x:f>IF(OR($G72="",$H72=""),"",$G72+$H72)</x:f>
      </x:c>
    </x:row>
    <x:row r="73">
      <x:c r="A73" s="12" t="n"/>
      <x:c r="B73" s="12" t="n"/>
      <x:c r="C73" s="12" t="n"/>
      <x:c r="D73" s="12" t="n"/>
      <x:c r="E73" s="12" t="n"/>
      <x:c r="F73" s="14" t="n"/>
      <x:c r="G73" s="13" t="n"/>
      <x:c r="H73" s="12" t="n"/>
      <x:c r="I73" s="12" t="n"/>
      <x:c r="J73" s="12" t="n"/>
      <x:c r="K73" s="18">
        <x:f>IF(OR($G73="",$H73=""),"",$G73+$H73)</x:f>
      </x:c>
    </x:row>
    <x:row r="74">
      <x:c r="A74" s="12" t="n"/>
      <x:c r="B74" s="12" t="n"/>
      <x:c r="C74" s="12" t="n"/>
      <x:c r="D74" s="12" t="n"/>
      <x:c r="E74" s="12" t="n"/>
      <x:c r="F74" s="14" t="n"/>
      <x:c r="G74" s="13" t="n"/>
      <x:c r="H74" s="12" t="n"/>
      <x:c r="I74" s="12" t="n"/>
      <x:c r="J74" s="12" t="n"/>
      <x:c r="K74" s="18">
        <x:f>IF(OR($G74="",$H74=""),"",$G74+$H74)</x:f>
      </x:c>
    </x:row>
    <x:row r="75">
      <x:c r="A75" s="12" t="n"/>
      <x:c r="B75" s="12" t="n"/>
      <x:c r="C75" s="12" t="n"/>
      <x:c r="D75" s="12" t="n"/>
      <x:c r="E75" s="12" t="n"/>
      <x:c r="F75" s="14" t="n"/>
      <x:c r="G75" s="13" t="n"/>
      <x:c r="H75" s="12" t="n"/>
      <x:c r="I75" s="12" t="n"/>
      <x:c r="J75" s="12" t="n"/>
      <x:c r="K75" s="18">
        <x:f>IF(OR($G75="",$H75=""),"",$G75+$H75)</x:f>
      </x:c>
    </x:row>
    <x:row r="76">
      <x:c r="A76" s="12" t="n"/>
      <x:c r="B76" s="12" t="n"/>
      <x:c r="C76" s="12" t="n"/>
      <x:c r="D76" s="12" t="n"/>
      <x:c r="E76" s="12" t="n"/>
      <x:c r="F76" s="14" t="n"/>
      <x:c r="G76" s="13" t="n"/>
      <x:c r="H76" s="12" t="n"/>
      <x:c r="I76" s="12" t="n"/>
      <x:c r="J76" s="12" t="n"/>
      <x:c r="K76" s="18">
        <x:f>IF(OR($G76="",$H76=""),"",$G76+$H76)</x:f>
      </x:c>
    </x:row>
    <x:row r="77">
      <x:c r="A77" s="12" t="n"/>
      <x:c r="B77" s="12" t="n"/>
      <x:c r="C77" s="12" t="n"/>
      <x:c r="D77" s="12" t="n"/>
      <x:c r="E77" s="12" t="n"/>
      <x:c r="F77" s="14" t="n"/>
      <x:c r="G77" s="13" t="n"/>
      <x:c r="H77" s="12" t="n"/>
      <x:c r="I77" s="12" t="n"/>
      <x:c r="J77" s="12" t="n"/>
      <x:c r="K77" s="18">
        <x:f>IF(OR($G77="",$H77=""),"",$G77+$H77)</x:f>
      </x:c>
    </x:row>
    <x:row r="78">
      <x:c r="A78" s="12" t="n"/>
      <x:c r="B78" s="12" t="n"/>
      <x:c r="C78" s="12" t="n"/>
      <x:c r="D78" s="12" t="n"/>
      <x:c r="E78" s="12" t="n"/>
      <x:c r="F78" s="14" t="n"/>
      <x:c r="G78" s="13" t="n"/>
      <x:c r="H78" s="12" t="n"/>
      <x:c r="I78" s="12" t="n"/>
      <x:c r="J78" s="12" t="n"/>
      <x:c r="K78" s="18">
        <x:f>IF(OR($G78="",$H78=""),"",$G78+$H78)</x:f>
      </x:c>
    </x:row>
    <x:row r="79">
      <x:c r="A79" s="12" t="n"/>
      <x:c r="B79" s="12" t="n"/>
      <x:c r="C79" s="12" t="n"/>
      <x:c r="D79" s="12" t="n"/>
      <x:c r="E79" s="12" t="n"/>
      <x:c r="F79" s="14" t="n"/>
      <x:c r="G79" s="13" t="n"/>
      <x:c r="H79" s="12" t="n"/>
      <x:c r="I79" s="12" t="n"/>
      <x:c r="J79" s="12" t="n"/>
      <x:c r="K79" s="18">
        <x:f>IF(OR($G79="",$H79=""),"",$G79+$H79)</x:f>
      </x:c>
    </x:row>
    <x:row r="80">
      <x:c r="A80" s="12" t="n"/>
      <x:c r="B80" s="12" t="n"/>
      <x:c r="C80" s="12" t="n"/>
      <x:c r="D80" s="12" t="n"/>
      <x:c r="E80" s="12" t="n"/>
      <x:c r="F80" s="14" t="n"/>
      <x:c r="G80" s="13" t="n"/>
      <x:c r="H80" s="12" t="n"/>
      <x:c r="I80" s="12" t="n"/>
      <x:c r="J80" s="12" t="n"/>
      <x:c r="K80" s="18">
        <x:f>IF(OR($G80="",$H80=""),"",$G80+$H80)</x:f>
      </x:c>
    </x:row>
    <x:row r="81">
      <x:c r="A81" s="12" t="n"/>
      <x:c r="B81" s="12" t="n"/>
      <x:c r="C81" s="12" t="n"/>
      <x:c r="D81" s="12" t="n"/>
      <x:c r="E81" s="12" t="n"/>
      <x:c r="F81" s="14" t="n"/>
      <x:c r="G81" s="13" t="n"/>
      <x:c r="H81" s="12" t="n"/>
      <x:c r="I81" s="12" t="n"/>
      <x:c r="J81" s="12" t="n"/>
      <x:c r="K81" s="18">
        <x:f>IF(OR($G81="",$H81=""),"",$G81+$H81)</x:f>
      </x:c>
    </x:row>
    <x:row r="82">
      <x:c r="A82" s="12" t="n"/>
      <x:c r="B82" s="12" t="n"/>
      <x:c r="C82" s="12" t="n"/>
      <x:c r="D82" s="12" t="n"/>
      <x:c r="E82" s="12" t="n"/>
      <x:c r="F82" s="14" t="n"/>
      <x:c r="G82" s="13" t="n"/>
      <x:c r="H82" s="12" t="n"/>
      <x:c r="I82" s="12" t="n"/>
      <x:c r="J82" s="12" t="n"/>
      <x:c r="K82" s="18">
        <x:f>IF(OR($G82="",$H82=""),"",$G82+$H82)</x:f>
      </x:c>
    </x:row>
    <x:row r="83">
      <x:c r="A83" s="12" t="n"/>
      <x:c r="B83" s="12" t="n"/>
      <x:c r="C83" s="12" t="n"/>
      <x:c r="D83" s="12" t="n"/>
      <x:c r="E83" s="12" t="n"/>
      <x:c r="F83" s="14" t="n"/>
      <x:c r="G83" s="13" t="n"/>
      <x:c r="H83" s="12" t="n"/>
      <x:c r="I83" s="12" t="n"/>
      <x:c r="J83" s="12" t="n"/>
      <x:c r="K83" s="18">
        <x:f>IF(OR($G83="",$H83=""),"",$G83+$H83)</x:f>
      </x:c>
    </x:row>
    <x:row r="84">
      <x:c r="A84" s="12" t="n"/>
      <x:c r="B84" s="12" t="n"/>
      <x:c r="C84" s="12" t="n"/>
      <x:c r="D84" s="12" t="n"/>
      <x:c r="E84" s="12" t="n"/>
      <x:c r="F84" s="14" t="n"/>
      <x:c r="G84" s="13" t="n"/>
      <x:c r="H84" s="12" t="n"/>
      <x:c r="I84" s="12" t="n"/>
      <x:c r="J84" s="12" t="n"/>
      <x:c r="K84" s="18">
        <x:f>IF(OR($G84="",$H84=""),"",$G84+$H84)</x:f>
      </x:c>
    </x:row>
    <x:row r="85">
      <x:c r="A85" s="12" t="n"/>
      <x:c r="B85" s="12" t="n"/>
      <x:c r="C85" s="12" t="n"/>
      <x:c r="D85" s="12" t="n"/>
      <x:c r="E85" s="12" t="n"/>
      <x:c r="F85" s="14" t="n"/>
      <x:c r="G85" s="13" t="n"/>
      <x:c r="H85" s="12" t="n"/>
      <x:c r="I85" s="12" t="n"/>
      <x:c r="J85" s="12" t="n"/>
      <x:c r="K85" s="18">
        <x:f>IF(OR($G85="",$H85=""),"",$G85+$H85)</x:f>
      </x:c>
    </x:row>
    <x:row r="86">
      <x:c r="A86" s="12" t="n"/>
      <x:c r="B86" s="12" t="n"/>
      <x:c r="C86" s="12" t="n"/>
      <x:c r="D86" s="12" t="n"/>
      <x:c r="E86" s="12" t="n"/>
      <x:c r="F86" s="14" t="n"/>
      <x:c r="G86" s="13" t="n"/>
      <x:c r="H86" s="12" t="n"/>
      <x:c r="I86" s="12" t="n"/>
      <x:c r="J86" s="12" t="n"/>
      <x:c r="K86" s="18">
        <x:f>IF(OR($G86="",$H86=""),"",$G86+$H86)</x:f>
      </x:c>
    </x:row>
    <x:row r="87">
      <x:c r="A87" s="12" t="n"/>
      <x:c r="B87" s="12" t="n"/>
      <x:c r="C87" s="12" t="n"/>
      <x:c r="D87" s="12" t="n"/>
      <x:c r="E87" s="12" t="n"/>
      <x:c r="F87" s="14" t="n"/>
      <x:c r="G87" s="13" t="n"/>
      <x:c r="H87" s="12" t="n"/>
      <x:c r="I87" s="12" t="n"/>
      <x:c r="J87" s="12" t="n"/>
      <x:c r="K87" s="18">
        <x:f>IF(OR($G87="",$H87=""),"",$G87+$H87)</x:f>
      </x:c>
    </x:row>
    <x:row r="88">
      <x:c r="A88" s="12" t="n"/>
      <x:c r="B88" s="12" t="n"/>
      <x:c r="C88" s="12" t="n"/>
      <x:c r="D88" s="12" t="n"/>
      <x:c r="E88" s="12" t="n"/>
      <x:c r="F88" s="14" t="n"/>
      <x:c r="G88" s="13" t="n"/>
      <x:c r="H88" s="12" t="n"/>
      <x:c r="I88" s="12" t="n"/>
      <x:c r="J88" s="12" t="n"/>
      <x:c r="K88" s="18">
        <x:f>IF(OR($G88="",$H88=""),"",$G88+$H88)</x:f>
      </x:c>
    </x:row>
    <x:row r="89">
      <x:c r="A89" s="12" t="n"/>
      <x:c r="B89" s="12" t="n"/>
      <x:c r="C89" s="12" t="n"/>
      <x:c r="D89" s="12" t="n"/>
      <x:c r="E89" s="12" t="n"/>
      <x:c r="F89" s="14" t="n"/>
      <x:c r="G89" s="13" t="n"/>
      <x:c r="H89" s="12" t="n"/>
      <x:c r="I89" s="12" t="n"/>
      <x:c r="J89" s="12" t="n"/>
      <x:c r="K89" s="18">
        <x:f>IF(OR($G89="",$H89=""),"",$G89+$H89)</x:f>
      </x:c>
    </x:row>
    <x:row r="90">
      <x:c r="A90" s="12" t="n"/>
      <x:c r="B90" s="12" t="n"/>
      <x:c r="C90" s="12" t="n"/>
      <x:c r="D90" s="12" t="n"/>
      <x:c r="E90" s="12" t="n"/>
      <x:c r="F90" s="14" t="n"/>
      <x:c r="G90" s="13" t="n"/>
      <x:c r="H90" s="12" t="n"/>
      <x:c r="I90" s="12" t="n"/>
      <x:c r="J90" s="12" t="n"/>
      <x:c r="K90" s="18">
        <x:f>IF(OR($G90="",$H90=""),"",$G90+$H90)</x:f>
      </x:c>
    </x:row>
    <x:row r="91">
      <x:c r="A91" s="12" t="n"/>
      <x:c r="B91" s="12" t="n"/>
      <x:c r="C91" s="12" t="n"/>
      <x:c r="D91" s="12" t="n"/>
      <x:c r="E91" s="12" t="n"/>
      <x:c r="F91" s="14" t="n"/>
      <x:c r="G91" s="13" t="n"/>
      <x:c r="H91" s="12" t="n"/>
      <x:c r="I91" s="12" t="n"/>
      <x:c r="J91" s="12" t="n"/>
      <x:c r="K91" s="18">
        <x:f>IF(OR($G91="",$H91=""),"",$G91+$H91)</x:f>
      </x:c>
    </x:row>
    <x:row r="92">
      <x:c r="A92" s="12" t="n"/>
      <x:c r="B92" s="12" t="n"/>
      <x:c r="C92" s="12" t="n"/>
      <x:c r="D92" s="12" t="n"/>
      <x:c r="E92" s="12" t="n"/>
      <x:c r="F92" s="14" t="n"/>
      <x:c r="G92" s="13" t="n"/>
      <x:c r="H92" s="12" t="n"/>
      <x:c r="I92" s="12" t="n"/>
      <x:c r="J92" s="12" t="n"/>
      <x:c r="K92" s="18">
        <x:f>IF(OR($G92="",$H92=""),"",$G92+$H92)</x:f>
      </x:c>
    </x:row>
    <x:row r="93">
      <x:c r="A93" s="12" t="n"/>
      <x:c r="B93" s="12" t="n"/>
      <x:c r="C93" s="12" t="n"/>
      <x:c r="D93" s="12" t="n"/>
      <x:c r="E93" s="12" t="n"/>
      <x:c r="F93" s="14" t="n"/>
      <x:c r="G93" s="13" t="n"/>
      <x:c r="H93" s="12" t="n"/>
      <x:c r="I93" s="12" t="n"/>
      <x:c r="J93" s="12" t="n"/>
      <x:c r="K93" s="18">
        <x:f>IF(OR($G93="",$H93=""),"",$G93+$H93)</x:f>
      </x:c>
    </x:row>
    <x:row r="94">
      <x:c r="A94" s="12" t="n"/>
      <x:c r="B94" s="12" t="n"/>
      <x:c r="C94" s="12" t="n"/>
      <x:c r="D94" s="12" t="n"/>
      <x:c r="E94" s="12" t="n"/>
      <x:c r="F94" s="14" t="n"/>
      <x:c r="G94" s="13" t="n"/>
      <x:c r="H94" s="12" t="n"/>
      <x:c r="I94" s="12" t="n"/>
      <x:c r="J94" s="12" t="n"/>
      <x:c r="K94" s="18">
        <x:f>IF(OR($G94="",$H94=""),"",$G94+$H94)</x:f>
      </x:c>
    </x:row>
    <x:row r="95">
      <x:c r="A95" s="12" t="n"/>
      <x:c r="B95" s="12" t="n"/>
      <x:c r="C95" s="12" t="n"/>
      <x:c r="D95" s="12" t="n"/>
      <x:c r="E95" s="12" t="n"/>
      <x:c r="F95" s="14" t="n"/>
      <x:c r="G95" s="13" t="n"/>
      <x:c r="H95" s="12" t="n"/>
      <x:c r="I95" s="12" t="n"/>
      <x:c r="J95" s="12" t="n"/>
      <x:c r="K95" s="18">
        <x:f>IF(OR($G95="",$H95=""),"",$G95+$H95)</x:f>
      </x:c>
    </x:row>
    <x:row r="96">
      <x:c r="A96" s="12" t="n"/>
      <x:c r="B96" s="12" t="n"/>
      <x:c r="C96" s="12" t="n"/>
      <x:c r="D96" s="12" t="n"/>
      <x:c r="E96" s="12" t="n"/>
      <x:c r="F96" s="14" t="n"/>
      <x:c r="G96" s="13" t="n"/>
      <x:c r="H96" s="12" t="n"/>
      <x:c r="I96" s="12" t="n"/>
      <x:c r="J96" s="12" t="n"/>
      <x:c r="K96" s="18">
        <x:f>IF(OR($G96="",$H96=""),"",$G96+$H96)</x:f>
      </x:c>
    </x:row>
    <x:row r="97">
      <x:c r="A97" s="12" t="n"/>
      <x:c r="B97" s="12" t="n"/>
      <x:c r="C97" s="12" t="n"/>
      <x:c r="D97" s="12" t="n"/>
      <x:c r="E97" s="12" t="n"/>
      <x:c r="F97" s="14" t="n"/>
      <x:c r="G97" s="13" t="n"/>
      <x:c r="H97" s="12" t="n"/>
      <x:c r="I97" s="12" t="n"/>
      <x:c r="J97" s="12" t="n"/>
      <x:c r="K97" s="18">
        <x:f>IF(OR($G97="",$H97=""),"",$G97+$H97)</x:f>
      </x:c>
    </x:row>
    <x:row r="98">
      <x:c r="A98" s="12" t="n"/>
      <x:c r="B98" s="12" t="n"/>
      <x:c r="C98" s="12" t="n"/>
      <x:c r="D98" s="12" t="n"/>
      <x:c r="E98" s="12" t="n"/>
      <x:c r="F98" s="14" t="n"/>
      <x:c r="G98" s="13" t="n"/>
      <x:c r="H98" s="12" t="n"/>
      <x:c r="I98" s="12" t="n"/>
      <x:c r="J98" s="12" t="n"/>
      <x:c r="K98" s="18">
        <x:f>IF(OR($G98="",$H98=""),"",$G98+$H98)</x:f>
      </x:c>
    </x:row>
    <x:row r="99">
      <x:c r="A99" s="12" t="n"/>
      <x:c r="B99" s="12" t="n"/>
      <x:c r="C99" s="12" t="n"/>
      <x:c r="D99" s="12" t="n"/>
      <x:c r="E99" s="12" t="n"/>
      <x:c r="F99" s="14" t="n"/>
      <x:c r="G99" s="13" t="n"/>
      <x:c r="H99" s="12" t="n"/>
      <x:c r="I99" s="12" t="n"/>
      <x:c r="J99" s="12" t="n"/>
      <x:c r="K99" s="18">
        <x:f>IF(OR($G99="",$H99=""),"",$G99+$H99)</x:f>
      </x:c>
    </x:row>
    <x:row r="100">
      <x:c r="A100" s="12" t="n"/>
      <x:c r="B100" s="12" t="n"/>
      <x:c r="C100" s="12" t="n"/>
      <x:c r="D100" s="12" t="n"/>
      <x:c r="E100" s="12" t="n"/>
      <x:c r="F100" s="14" t="n"/>
      <x:c r="G100" s="13" t="n"/>
      <x:c r="H100" s="12" t="n"/>
      <x:c r="I100" s="12" t="n"/>
      <x:c r="J100" s="12" t="n"/>
      <x:c r="K100" s="18">
        <x:f>IF(OR($G100="",$H100=""),"",$G100+$H100)</x:f>
      </x:c>
    </x:row>
    <x:row r="101">
      <x:c r="A101" s="12" t="n"/>
      <x:c r="B101" s="12" t="n"/>
      <x:c r="C101" s="12" t="n"/>
      <x:c r="D101" s="12" t="n"/>
      <x:c r="E101" s="12" t="n"/>
      <x:c r="F101" s="14" t="n"/>
      <x:c r="G101" s="13" t="n"/>
      <x:c r="H101" s="12" t="n"/>
      <x:c r="I101" s="12" t="n"/>
      <x:c r="J101" s="12" t="n"/>
      <x:c r="K101" s="18">
        <x:f>IF(OR($G101="",$H101=""),"",$G101+$H101)</x:f>
      </x:c>
    </x:row>
    <x:row r="102">
      <x:c r="A102" s="12" t="n"/>
      <x:c r="B102" s="12" t="n"/>
      <x:c r="C102" s="12" t="n"/>
      <x:c r="D102" s="12" t="n"/>
      <x:c r="E102" s="12" t="n"/>
      <x:c r="F102" s="14" t="n"/>
      <x:c r="G102" s="13" t="n"/>
      <x:c r="H102" s="12" t="n"/>
      <x:c r="I102" s="12" t="n"/>
      <x:c r="J102" s="12" t="n"/>
      <x:c r="K102" s="18">
        <x:f>IF(OR($G102="",$H102=""),"",$G102+$H102)</x:f>
      </x:c>
    </x:row>
    <x:row r="103">
      <x:c r="A103" s="12" t="n"/>
      <x:c r="B103" s="12" t="n"/>
      <x:c r="C103" s="12" t="n"/>
      <x:c r="D103" s="12" t="n"/>
      <x:c r="E103" s="12" t="n"/>
      <x:c r="F103" s="14" t="n"/>
      <x:c r="G103" s="13" t="n"/>
      <x:c r="H103" s="12" t="n"/>
      <x:c r="I103" s="12" t="n"/>
      <x:c r="J103" s="12" t="n"/>
      <x:c r="K103" s="18">
        <x:f>IF(OR($G103="",$H103=""),"",$G103+$H103)</x:f>
      </x:c>
    </x:row>
    <x:row r="104">
      <x:c r="A104" s="12" t="n"/>
      <x:c r="B104" s="12" t="n"/>
      <x:c r="C104" s="12" t="n"/>
      <x:c r="D104" s="12" t="n"/>
      <x:c r="E104" s="12" t="n"/>
      <x:c r="F104" s="14" t="n"/>
      <x:c r="G104" s="13" t="n"/>
      <x:c r="H104" s="12" t="n"/>
      <x:c r="I104" s="12" t="n"/>
      <x:c r="J104" s="12" t="n"/>
      <x:c r="K104" s="18">
        <x:f>IF(OR($G104="",$H104=""),"",$G104+$H104)</x:f>
      </x:c>
    </x:row>
    <x:row r="105">
      <x:c r="A105" s="12" t="n"/>
      <x:c r="B105" s="12" t="n"/>
      <x:c r="C105" s="12" t="n"/>
      <x:c r="D105" s="12" t="n"/>
      <x:c r="E105" s="12" t="n"/>
      <x:c r="F105" s="14" t="n"/>
      <x:c r="G105" s="13" t="n"/>
      <x:c r="H105" s="12" t="n"/>
      <x:c r="I105" s="12" t="n"/>
      <x:c r="J105" s="12" t="n"/>
      <x:c r="K105" s="18">
        <x:f>IF(OR($G105="",$H105=""),"",$G105+$H105)</x:f>
      </x:c>
    </x:row>
    <x:row r="106">
      <x:c r="A106" s="12" t="n"/>
      <x:c r="B106" s="12" t="n"/>
      <x:c r="C106" s="12" t="n"/>
      <x:c r="D106" s="12" t="n"/>
      <x:c r="E106" s="12" t="n"/>
      <x:c r="F106" s="14" t="n"/>
      <x:c r="G106" s="13" t="n"/>
      <x:c r="H106" s="12" t="n"/>
      <x:c r="I106" s="12" t="n"/>
      <x:c r="J106" s="12" t="n"/>
      <x:c r="K106" s="18">
        <x:f>IF(OR($G106="",$H106=""),"",$G106+$H106)</x:f>
      </x:c>
    </x:row>
    <x:row r="107">
      <x:c r="A107" s="12" t="n"/>
      <x:c r="B107" s="12" t="n"/>
      <x:c r="C107" s="12" t="n"/>
      <x:c r="D107" s="12" t="n"/>
      <x:c r="E107" s="12" t="n"/>
      <x:c r="F107" s="14" t="n"/>
      <x:c r="G107" s="13" t="n"/>
      <x:c r="H107" s="12" t="n"/>
      <x:c r="I107" s="12" t="n"/>
      <x:c r="J107" s="12" t="n"/>
      <x:c r="K107" s="18">
        <x:f>IF(OR($G107="",$H107=""),"",$G107+$H107)</x:f>
      </x:c>
    </x:row>
    <x:row r="108">
      <x:c r="A108" s="12" t="n"/>
      <x:c r="B108" s="12" t="n"/>
      <x:c r="C108" s="12" t="n"/>
      <x:c r="D108" s="12" t="n"/>
      <x:c r="E108" s="12" t="n"/>
      <x:c r="F108" s="14" t="n"/>
      <x:c r="G108" s="13" t="n"/>
      <x:c r="H108" s="12" t="n"/>
      <x:c r="I108" s="12" t="n"/>
      <x:c r="J108" s="12" t="n"/>
      <x:c r="K108" s="18">
        <x:f>IF(OR($G108="",$H108=""),"",$G108+$H108)</x:f>
      </x:c>
    </x:row>
    <x:row r="109">
      <x:c r="A109" s="12" t="n"/>
      <x:c r="B109" s="12" t="n"/>
      <x:c r="C109" s="12" t="n"/>
      <x:c r="D109" s="12" t="n"/>
      <x:c r="E109" s="12" t="n"/>
      <x:c r="F109" s="14" t="n"/>
      <x:c r="G109" s="13" t="n"/>
      <x:c r="H109" s="12" t="n"/>
      <x:c r="I109" s="12" t="n"/>
      <x:c r="J109" s="12" t="n"/>
      <x:c r="K109" s="18">
        <x:f>IF(OR($G109="",$H109=""),"",$G109+$H109)</x:f>
      </x:c>
    </x:row>
    <x:row r="110">
      <x:c r="A110" s="12" t="n"/>
      <x:c r="B110" s="12" t="n"/>
      <x:c r="C110" s="12" t="n"/>
      <x:c r="D110" s="12" t="n"/>
      <x:c r="E110" s="12" t="n"/>
      <x:c r="F110" s="14" t="n"/>
      <x:c r="G110" s="13" t="n"/>
      <x:c r="H110" s="12" t="n"/>
      <x:c r="I110" s="12" t="n"/>
      <x:c r="J110" s="12" t="n"/>
      <x:c r="K110" s="18">
        <x:f>IF(OR($G110="",$H110=""),"",$G110+$H110)</x:f>
      </x:c>
    </x:row>
    <x:row r="111">
      <x:c r="A111" s="12" t="n"/>
      <x:c r="B111" s="12" t="n"/>
      <x:c r="C111" s="12" t="n"/>
      <x:c r="D111" s="12" t="n"/>
      <x:c r="E111" s="12" t="n"/>
      <x:c r="F111" s="14" t="n"/>
      <x:c r="G111" s="13" t="n"/>
      <x:c r="H111" s="12" t="n"/>
      <x:c r="I111" s="12" t="n"/>
      <x:c r="J111" s="12" t="n"/>
      <x:c r="K111" s="18">
        <x:f>IF(OR($G111="",$H111=""),"",$G111+$H111)</x:f>
      </x:c>
    </x:row>
    <x:row r="112">
      <x:c r="A112" s="12" t="n"/>
      <x:c r="B112" s="12" t="n"/>
      <x:c r="C112" s="12" t="n"/>
      <x:c r="D112" s="12" t="n"/>
      <x:c r="E112" s="12" t="n"/>
      <x:c r="F112" s="14" t="n"/>
      <x:c r="G112" s="13" t="n"/>
      <x:c r="H112" s="12" t="n"/>
      <x:c r="I112" s="12" t="n"/>
      <x:c r="J112" s="12" t="n"/>
      <x:c r="K112" s="18">
        <x:f>IF(OR($G112="",$H112=""),"",$G112+$H112)</x:f>
      </x:c>
    </x:row>
    <x:row r="113">
      <x:c r="A113" s="12" t="n"/>
      <x:c r="B113" s="12" t="n"/>
      <x:c r="C113" s="12" t="n"/>
      <x:c r="D113" s="12" t="n"/>
      <x:c r="E113" s="12" t="n"/>
      <x:c r="F113" s="14" t="n"/>
      <x:c r="G113" s="13" t="n"/>
      <x:c r="H113" s="12" t="n"/>
      <x:c r="I113" s="12" t="n"/>
      <x:c r="J113" s="12" t="n"/>
      <x:c r="K113" s="18">
        <x:f>IF(OR($G113="",$H113=""),"",$G113+$H113)</x:f>
      </x:c>
    </x:row>
    <x:row r="114">
      <x:c r="A114" s="12" t="n"/>
      <x:c r="B114" s="12" t="n"/>
      <x:c r="C114" s="12" t="n"/>
      <x:c r="D114" s="12" t="n"/>
      <x:c r="E114" s="12" t="n"/>
      <x:c r="F114" s="14" t="n"/>
      <x:c r="G114" s="13" t="n"/>
      <x:c r="H114" s="12" t="n"/>
      <x:c r="I114" s="12" t="n"/>
      <x:c r="J114" s="12" t="n"/>
      <x:c r="K114" s="18">
        <x:f>IF(OR($G114="",$H114=""),"",$G114+$H114)</x:f>
      </x:c>
    </x:row>
    <x:row r="115">
      <x:c r="A115" s="12" t="n"/>
      <x:c r="B115" s="12" t="n"/>
      <x:c r="C115" s="12" t="n"/>
      <x:c r="D115" s="12" t="n"/>
      <x:c r="E115" s="12" t="n"/>
      <x:c r="F115" s="14" t="n"/>
      <x:c r="G115" s="13" t="n"/>
      <x:c r="H115" s="12" t="n"/>
      <x:c r="I115" s="12" t="n"/>
      <x:c r="J115" s="12" t="n"/>
      <x:c r="K115" s="18">
        <x:f>IF(OR($G115="",$H115=""),"",$G115+$H115)</x:f>
      </x:c>
    </x:row>
    <x:row r="116">
      <x:c r="A116" s="12" t="n"/>
      <x:c r="B116" s="12" t="n"/>
      <x:c r="C116" s="12" t="n"/>
      <x:c r="D116" s="12" t="n"/>
      <x:c r="E116" s="12" t="n"/>
      <x:c r="F116" s="14" t="n"/>
      <x:c r="G116" s="13" t="n"/>
      <x:c r="H116" s="12" t="n"/>
      <x:c r="I116" s="12" t="n"/>
      <x:c r="J116" s="12" t="n"/>
      <x:c r="K116" s="18">
        <x:f>IF(OR($G116="",$H116=""),"",$G116+$H116)</x:f>
      </x:c>
    </x:row>
    <x:row r="117">
      <x:c r="A117" s="12" t="n"/>
      <x:c r="B117" s="12" t="n"/>
      <x:c r="C117" s="12" t="n"/>
      <x:c r="D117" s="12" t="n"/>
      <x:c r="E117" s="12" t="n"/>
      <x:c r="F117" s="14" t="n"/>
      <x:c r="G117" s="13" t="n"/>
      <x:c r="H117" s="12" t="n"/>
      <x:c r="I117" s="12" t="n"/>
      <x:c r="J117" s="12" t="n"/>
      <x:c r="K117" s="18">
        <x:f>IF(OR($G117="",$H117=""),"",$G117+$H117)</x:f>
      </x:c>
    </x:row>
    <x:row r="118">
      <x:c r="A118" s="12" t="n"/>
      <x:c r="B118" s="12" t="n"/>
      <x:c r="C118" s="12" t="n"/>
      <x:c r="D118" s="12" t="n"/>
      <x:c r="E118" s="12" t="n"/>
      <x:c r="F118" s="14" t="n"/>
      <x:c r="G118" s="13" t="n"/>
      <x:c r="H118" s="12" t="n"/>
      <x:c r="I118" s="12" t="n"/>
      <x:c r="J118" s="12" t="n"/>
      <x:c r="K118" s="18">
        <x:f>IF(OR($G118="",$H118=""),"",$G118+$H118)</x:f>
      </x:c>
    </x:row>
    <x:row r="119">
      <x:c r="A119" s="12" t="n"/>
      <x:c r="B119" s="12" t="n"/>
      <x:c r="C119" s="12" t="n"/>
      <x:c r="D119" s="12" t="n"/>
      <x:c r="E119" s="12" t="n"/>
      <x:c r="F119" s="14" t="n"/>
      <x:c r="G119" s="13" t="n"/>
      <x:c r="H119" s="12" t="n"/>
      <x:c r="I119" s="12" t="n"/>
      <x:c r="J119" s="12" t="n"/>
      <x:c r="K119" s="18">
        <x:f>IF(OR($G119="",$H119=""),"",$G119+$H119)</x:f>
      </x:c>
    </x:row>
    <x:row r="120">
      <x:c r="A120" s="12" t="n"/>
      <x:c r="B120" s="12" t="n"/>
      <x:c r="C120" s="12" t="n"/>
      <x:c r="D120" s="12" t="n"/>
      <x:c r="E120" s="12" t="n"/>
      <x:c r="F120" s="14" t="n"/>
      <x:c r="G120" s="13" t="n"/>
      <x:c r="H120" s="12" t="n"/>
      <x:c r="I120" s="12" t="n"/>
      <x:c r="J120" s="12" t="n"/>
      <x:c r="K120" s="18">
        <x:f>IF(OR($G120="",$H120=""),"",$G120+$H120)</x:f>
      </x:c>
    </x:row>
    <x:row r="121">
      <x:c r="A121" s="12" t="n"/>
      <x:c r="B121" s="12" t="n"/>
      <x:c r="C121" s="12" t="n"/>
      <x:c r="D121" s="12" t="n"/>
      <x:c r="E121" s="12" t="n"/>
      <x:c r="F121" s="14" t="n"/>
      <x:c r="G121" s="13" t="n"/>
      <x:c r="H121" s="12" t="n"/>
      <x:c r="I121" s="12" t="n"/>
      <x:c r="J121" s="12" t="n"/>
      <x:c r="K121" s="18">
        <x:f>IF(OR($G121="",$H121=""),"",$G121+$H121)</x:f>
      </x:c>
    </x:row>
    <x:row r="122">
      <x:c r="A122" s="12" t="n"/>
      <x:c r="B122" s="12" t="n"/>
      <x:c r="C122" s="12" t="n"/>
      <x:c r="D122" s="12" t="n"/>
      <x:c r="E122" s="12" t="n"/>
      <x:c r="F122" s="14" t="n"/>
      <x:c r="G122" s="13" t="n"/>
      <x:c r="H122" s="12" t="n"/>
      <x:c r="I122" s="12" t="n"/>
      <x:c r="J122" s="12" t="n"/>
      <x:c r="K122" s="18">
        <x:f>IF(OR($G122="",$H122=""),"",$G122+$H122)</x:f>
      </x:c>
    </x:row>
    <x:row r="123">
      <x:c r="A123" s="12" t="n"/>
      <x:c r="B123" s="12" t="n"/>
      <x:c r="C123" s="12" t="n"/>
      <x:c r="D123" s="12" t="n"/>
      <x:c r="E123" s="12" t="n"/>
      <x:c r="F123" s="14" t="n"/>
      <x:c r="G123" s="13" t="n"/>
      <x:c r="H123" s="12" t="n"/>
      <x:c r="I123" s="12" t="n"/>
      <x:c r="J123" s="12" t="n"/>
      <x:c r="K123" s="18">
        <x:f>IF(OR($G123="",$H123=""),"",$G123+$H123)</x:f>
      </x:c>
    </x:row>
    <x:row r="124">
      <x:c r="A124" s="12" t="n"/>
      <x:c r="B124" s="12" t="n"/>
      <x:c r="C124" s="12" t="n"/>
      <x:c r="D124" s="12" t="n"/>
      <x:c r="E124" s="12" t="n"/>
      <x:c r="F124" s="14" t="n"/>
      <x:c r="G124" s="13" t="n"/>
      <x:c r="H124" s="12" t="n"/>
      <x:c r="I124" s="12" t="n"/>
      <x:c r="J124" s="12" t="n"/>
      <x:c r="K124" s="18">
        <x:f>IF(OR($G124="",$H124=""),"",$G124+$H124)</x:f>
      </x:c>
    </x:row>
    <x:row r="125">
      <x:c r="A125" s="12" t="n"/>
      <x:c r="B125" s="12" t="n"/>
      <x:c r="C125" s="12" t="n"/>
      <x:c r="D125" s="12" t="n"/>
      <x:c r="E125" s="12" t="n"/>
      <x:c r="F125" s="14" t="n"/>
      <x:c r="G125" s="13" t="n"/>
      <x:c r="H125" s="12" t="n"/>
      <x:c r="I125" s="12" t="n"/>
      <x:c r="J125" s="12" t="n"/>
      <x:c r="K125" s="18">
        <x:f>IF(OR($G125="",$H125=""),"",$G125+$H125)</x:f>
      </x:c>
    </x:row>
    <x:row r="126">
      <x:c r="A126" s="12" t="n"/>
      <x:c r="B126" s="12" t="n"/>
      <x:c r="C126" s="12" t="n"/>
      <x:c r="D126" s="12" t="n"/>
      <x:c r="E126" s="12" t="n"/>
      <x:c r="F126" s="14" t="n"/>
      <x:c r="G126" s="13" t="n"/>
      <x:c r="H126" s="12" t="n"/>
      <x:c r="I126" s="12" t="n"/>
      <x:c r="J126" s="12" t="n"/>
      <x:c r="K126" s="18">
        <x:f>IF(OR($G126="",$H126=""),"",$G126+$H126)</x:f>
      </x:c>
    </x:row>
    <x:row r="127">
      <x:c r="A127" s="12" t="n"/>
      <x:c r="B127" s="12" t="n"/>
      <x:c r="C127" s="12" t="n"/>
      <x:c r="D127" s="12" t="n"/>
      <x:c r="E127" s="12" t="n"/>
      <x:c r="F127" s="14" t="n"/>
      <x:c r="G127" s="13" t="n"/>
      <x:c r="H127" s="12" t="n"/>
      <x:c r="I127" s="12" t="n"/>
      <x:c r="J127" s="12" t="n"/>
      <x:c r="K127" s="18">
        <x:f>IF(OR($G127="",$H127=""),"",$G127+$H127)</x:f>
      </x:c>
    </x:row>
    <x:row r="128">
      <x:c r="A128" s="12" t="n"/>
      <x:c r="B128" s="12" t="n"/>
      <x:c r="C128" s="12" t="n"/>
      <x:c r="D128" s="12" t="n"/>
      <x:c r="E128" s="12" t="n"/>
      <x:c r="F128" s="14" t="n"/>
      <x:c r="G128" s="13" t="n"/>
      <x:c r="H128" s="12" t="n"/>
      <x:c r="I128" s="12" t="n"/>
      <x:c r="J128" s="12" t="n"/>
      <x:c r="K128" s="18">
        <x:f>IF(OR($G128="",$H128=""),"",$G128+$H128)</x:f>
      </x:c>
    </x:row>
    <x:row r="129">
      <x:c r="A129" s="12" t="n"/>
      <x:c r="B129" s="12" t="n"/>
      <x:c r="C129" s="12" t="n"/>
      <x:c r="D129" s="12" t="n"/>
      <x:c r="E129" s="12" t="n"/>
      <x:c r="F129" s="14" t="n"/>
      <x:c r="G129" s="13" t="n"/>
      <x:c r="H129" s="12" t="n"/>
      <x:c r="I129" s="12" t="n"/>
      <x:c r="J129" s="12" t="n"/>
      <x:c r="K129" s="18">
        <x:f>IF(OR($G129="",$H129=""),"",$G129+$H129)</x:f>
      </x:c>
    </x:row>
    <x:row r="130">
      <x:c r="A130" s="12" t="n"/>
      <x:c r="B130" s="12" t="n"/>
      <x:c r="C130" s="12" t="n"/>
      <x:c r="D130" s="12" t="n"/>
      <x:c r="E130" s="12" t="n"/>
      <x:c r="F130" s="14" t="n"/>
      <x:c r="G130" s="13" t="n"/>
      <x:c r="H130" s="12" t="n"/>
      <x:c r="I130" s="12" t="n"/>
      <x:c r="J130" s="12" t="n"/>
      <x:c r="K130" s="18">
        <x:f>IF(OR($G130="",$H130=""),"",$G130+$H130)</x:f>
      </x:c>
    </x:row>
    <x:row r="131">
      <x:c r="A131" s="12" t="n"/>
      <x:c r="B131" s="12" t="n"/>
      <x:c r="C131" s="12" t="n"/>
      <x:c r="D131" s="12" t="n"/>
      <x:c r="E131" s="12" t="n"/>
      <x:c r="F131" s="14" t="n"/>
      <x:c r="G131" s="13" t="n"/>
      <x:c r="H131" s="12" t="n"/>
      <x:c r="I131" s="12" t="n"/>
      <x:c r="J131" s="12" t="n"/>
      <x:c r="K131" s="18">
        <x:f>IF(OR($G131="",$H131=""),"",$G131+$H131)</x:f>
      </x:c>
    </x:row>
    <x:row r="132">
      <x:c r="A132" s="12" t="n"/>
      <x:c r="B132" s="12" t="n"/>
      <x:c r="C132" s="12" t="n"/>
      <x:c r="D132" s="12" t="n"/>
      <x:c r="E132" s="12" t="n"/>
      <x:c r="F132" s="14" t="n"/>
      <x:c r="G132" s="13" t="n"/>
      <x:c r="H132" s="12" t="n"/>
      <x:c r="I132" s="12" t="n"/>
      <x:c r="J132" s="12" t="n"/>
      <x:c r="K132" s="18">
        <x:f>IF(OR($G132="",$H132=""),"",$G132+$H132)</x:f>
      </x:c>
    </x:row>
    <x:row r="133">
      <x:c r="A133" s="12" t="n"/>
      <x:c r="B133" s="12" t="n"/>
      <x:c r="C133" s="12" t="n"/>
      <x:c r="D133" s="12" t="n"/>
      <x:c r="E133" s="12" t="n"/>
      <x:c r="F133" s="14" t="n"/>
      <x:c r="G133" s="13" t="n"/>
      <x:c r="H133" s="12" t="n"/>
      <x:c r="I133" s="12" t="n"/>
      <x:c r="J133" s="12" t="n"/>
      <x:c r="K133" s="18">
        <x:f>IF(OR($G133="",$H133=""),"",$G133+$H133)</x:f>
      </x:c>
    </x:row>
    <x:row r="134">
      <x:c r="A134" s="12" t="n"/>
      <x:c r="B134" s="12" t="n"/>
      <x:c r="C134" s="12" t="n"/>
      <x:c r="D134" s="12" t="n"/>
      <x:c r="E134" s="12" t="n"/>
      <x:c r="F134" s="14" t="n"/>
      <x:c r="G134" s="13" t="n"/>
      <x:c r="H134" s="12" t="n"/>
      <x:c r="I134" s="12" t="n"/>
      <x:c r="J134" s="12" t="n"/>
      <x:c r="K134" s="18">
        <x:f>IF(OR($G134="",$H134=""),"",$G134+$H134)</x:f>
      </x:c>
    </x:row>
    <x:row r="135">
      <x:c r="A135" s="12" t="n"/>
      <x:c r="B135" s="12" t="n"/>
      <x:c r="C135" s="12" t="n"/>
      <x:c r="D135" s="12" t="n"/>
      <x:c r="E135" s="12" t="n"/>
      <x:c r="F135" s="14" t="n"/>
      <x:c r="G135" s="13" t="n"/>
      <x:c r="H135" s="12" t="n"/>
      <x:c r="I135" s="12" t="n"/>
      <x:c r="J135" s="12" t="n"/>
      <x:c r="K135" s="18">
        <x:f>IF(OR($G135="",$H135=""),"",$G135+$H135)</x:f>
      </x:c>
    </x:row>
    <x:row r="136">
      <x:c r="A136" s="12" t="n"/>
      <x:c r="B136" s="12" t="n"/>
      <x:c r="C136" s="12" t="n"/>
      <x:c r="D136" s="12" t="n"/>
      <x:c r="E136" s="12" t="n"/>
      <x:c r="F136" s="14" t="n"/>
      <x:c r="G136" s="13" t="n"/>
      <x:c r="H136" s="12" t="n"/>
      <x:c r="I136" s="12" t="n"/>
      <x:c r="J136" s="12" t="n"/>
      <x:c r="K136" s="18">
        <x:f>IF(OR($G136="",$H136=""),"",$G136+$H136)</x:f>
      </x:c>
    </x:row>
    <x:row r="137">
      <x:c r="A137" s="12" t="n"/>
      <x:c r="B137" s="12" t="n"/>
      <x:c r="C137" s="12" t="n"/>
      <x:c r="D137" s="12" t="n"/>
      <x:c r="E137" s="12" t="n"/>
      <x:c r="F137" s="14" t="n"/>
      <x:c r="G137" s="13" t="n"/>
      <x:c r="H137" s="12" t="n"/>
      <x:c r="I137" s="12" t="n"/>
      <x:c r="J137" s="12" t="n"/>
      <x:c r="K137" s="18">
        <x:f>IF(OR($G137="",$H137=""),"",$G137+$H137)</x:f>
      </x:c>
    </x:row>
    <x:row r="138">
      <x:c r="A138" s="12" t="n"/>
      <x:c r="B138" s="12" t="n"/>
      <x:c r="C138" s="12" t="n"/>
      <x:c r="D138" s="12" t="n"/>
      <x:c r="E138" s="12" t="n"/>
      <x:c r="F138" s="14" t="n"/>
      <x:c r="G138" s="13" t="n"/>
      <x:c r="H138" s="12" t="n"/>
      <x:c r="I138" s="12" t="n"/>
      <x:c r="J138" s="12" t="n"/>
      <x:c r="K138" s="18">
        <x:f>IF(OR($G138="",$H138=""),"",$G138+$H138)</x:f>
      </x:c>
    </x:row>
    <x:row r="139">
      <x:c r="A139" s="12" t="n"/>
      <x:c r="B139" s="12" t="n"/>
      <x:c r="C139" s="12" t="n"/>
      <x:c r="D139" s="12" t="n"/>
      <x:c r="E139" s="12" t="n"/>
      <x:c r="F139" s="14" t="n"/>
      <x:c r="G139" s="13" t="n"/>
      <x:c r="H139" s="12" t="n"/>
      <x:c r="I139" s="12" t="n"/>
      <x:c r="J139" s="12" t="n"/>
      <x:c r="K139" s="18">
        <x:f>IF(OR($G139="",$H139=""),"",$G139+$H139)</x:f>
      </x:c>
    </x:row>
    <x:row r="140">
      <x:c r="A140" s="12" t="n"/>
      <x:c r="B140" s="12" t="n"/>
      <x:c r="C140" s="12" t="n"/>
      <x:c r="D140" s="12" t="n"/>
      <x:c r="E140" s="12" t="n"/>
      <x:c r="F140" s="14" t="n"/>
      <x:c r="G140" s="13" t="n"/>
      <x:c r="H140" s="12" t="n"/>
      <x:c r="I140" s="12" t="n"/>
      <x:c r="J140" s="12" t="n"/>
      <x:c r="K140" s="18">
        <x:f>IF(OR($G140="",$H140=""),"",$G140+$H140)</x:f>
      </x:c>
    </x:row>
    <x:row r="141">
      <x:c r="A141" s="12" t="n"/>
      <x:c r="B141" s="12" t="n"/>
      <x:c r="C141" s="12" t="n"/>
      <x:c r="D141" s="12" t="n"/>
      <x:c r="E141" s="12" t="n"/>
      <x:c r="F141" s="14" t="n"/>
      <x:c r="G141" s="13" t="n"/>
      <x:c r="H141" s="12" t="n"/>
      <x:c r="I141" s="12" t="n"/>
      <x:c r="J141" s="12" t="n"/>
      <x:c r="K141" s="18">
        <x:f>IF(OR($G141="",$H141=""),"",$G141+$H141)</x:f>
      </x:c>
    </x:row>
    <x:row r="142">
      <x:c r="A142" s="12" t="n"/>
      <x:c r="B142" s="12" t="n"/>
      <x:c r="C142" s="12" t="n"/>
      <x:c r="D142" s="12" t="n"/>
      <x:c r="E142" s="12" t="n"/>
      <x:c r="F142" s="14" t="n"/>
      <x:c r="G142" s="13" t="n"/>
      <x:c r="H142" s="12" t="n"/>
      <x:c r="I142" s="12" t="n"/>
      <x:c r="J142" s="12" t="n"/>
      <x:c r="K142" s="18">
        <x:f>IF(OR($G142="",$H142=""),"",$G142+$H142)</x:f>
      </x:c>
    </x:row>
    <x:row r="143">
      <x:c r="A143" s="12" t="n"/>
      <x:c r="B143" s="12" t="n"/>
      <x:c r="C143" s="12" t="n"/>
      <x:c r="D143" s="12" t="n"/>
      <x:c r="E143" s="12" t="n"/>
      <x:c r="F143" s="14" t="n"/>
      <x:c r="G143" s="13" t="n"/>
      <x:c r="H143" s="12" t="n"/>
      <x:c r="I143" s="12" t="n"/>
      <x:c r="J143" s="12" t="n"/>
      <x:c r="K143" s="18">
        <x:f>IF(OR($G143="",$H143=""),"",$G143+$H143)</x:f>
      </x:c>
    </x:row>
    <x:row r="144">
      <x:c r="A144" s="12" t="n"/>
      <x:c r="B144" s="12" t="n"/>
      <x:c r="C144" s="12" t="n"/>
      <x:c r="D144" s="12" t="n"/>
      <x:c r="E144" s="12" t="n"/>
      <x:c r="F144" s="14" t="n"/>
      <x:c r="G144" s="13" t="n"/>
      <x:c r="H144" s="12" t="n"/>
      <x:c r="I144" s="12" t="n"/>
      <x:c r="J144" s="12" t="n"/>
      <x:c r="K144" s="18">
        <x:f>IF(OR($G144="",$H144=""),"",$G144+$H144)</x:f>
      </x:c>
    </x:row>
    <x:row r="145">
      <x:c r="A145" s="12" t="n"/>
      <x:c r="B145" s="12" t="n"/>
      <x:c r="C145" s="12" t="n"/>
      <x:c r="D145" s="12" t="n"/>
      <x:c r="E145" s="12" t="n"/>
      <x:c r="F145" s="14" t="n"/>
      <x:c r="G145" s="13" t="n"/>
      <x:c r="H145" s="12" t="n"/>
      <x:c r="I145" s="12" t="n"/>
      <x:c r="J145" s="12" t="n"/>
      <x:c r="K145" s="18">
        <x:f>IF(OR($G145="",$H145=""),"",$G145+$H145)</x:f>
      </x:c>
    </x:row>
    <x:row r="146">
      <x:c r="A146" s="12" t="n"/>
      <x:c r="B146" s="12" t="n"/>
      <x:c r="C146" s="12" t="n"/>
      <x:c r="D146" s="12" t="n"/>
      <x:c r="E146" s="12" t="n"/>
      <x:c r="F146" s="14" t="n"/>
      <x:c r="G146" s="13" t="n"/>
      <x:c r="H146" s="12" t="n"/>
      <x:c r="I146" s="12" t="n"/>
      <x:c r="J146" s="12" t="n"/>
      <x:c r="K146" s="18">
        <x:f>IF(OR($G146="",$H146=""),"",$G146+$H146)</x:f>
      </x:c>
    </x:row>
    <x:row r="147">
      <x:c r="A147" s="12" t="n"/>
      <x:c r="B147" s="12" t="n"/>
      <x:c r="C147" s="12" t="n"/>
      <x:c r="D147" s="12" t="n"/>
      <x:c r="E147" s="12" t="n"/>
      <x:c r="F147" s="14" t="n"/>
      <x:c r="G147" s="13" t="n"/>
      <x:c r="H147" s="12" t="n"/>
      <x:c r="I147" s="12" t="n"/>
      <x:c r="J147" s="12" t="n"/>
      <x:c r="K147" s="18">
        <x:f>IF(OR($G147="",$H147=""),"",$G147+$H147)</x:f>
      </x:c>
    </x:row>
    <x:row r="148">
      <x:c r="A148" s="12" t="n"/>
      <x:c r="B148" s="12" t="n"/>
      <x:c r="C148" s="12" t="n"/>
      <x:c r="D148" s="12" t="n"/>
      <x:c r="E148" s="12" t="n"/>
      <x:c r="F148" s="14" t="n"/>
      <x:c r="G148" s="13" t="n"/>
      <x:c r="H148" s="12" t="n"/>
      <x:c r="I148" s="12" t="n"/>
      <x:c r="J148" s="12" t="n"/>
      <x:c r="K148" s="18">
        <x:f>IF(OR($G148="",$H148=""),"",$G148+$H148)</x:f>
      </x:c>
    </x:row>
    <x:row r="149">
      <x:c r="A149" s="12" t="n"/>
      <x:c r="B149" s="12" t="n"/>
      <x:c r="C149" s="12" t="n"/>
      <x:c r="D149" s="12" t="n"/>
      <x:c r="E149" s="12" t="n"/>
      <x:c r="F149" s="14" t="n"/>
      <x:c r="G149" s="13" t="n"/>
      <x:c r="H149" s="12" t="n"/>
      <x:c r="I149" s="12" t="n"/>
      <x:c r="J149" s="12" t="n"/>
      <x:c r="K149" s="18">
        <x:f>IF(OR($G149="",$H149=""),"",$G149+$H149)</x:f>
      </x:c>
    </x:row>
    <x:row r="150">
      <x:c r="A150" s="12" t="n"/>
      <x:c r="B150" s="12" t="n"/>
      <x:c r="C150" s="12" t="n"/>
      <x:c r="D150" s="12" t="n"/>
      <x:c r="E150" s="12" t="n"/>
      <x:c r="F150" s="14" t="n"/>
      <x:c r="G150" s="13" t="n"/>
      <x:c r="H150" s="12" t="n"/>
      <x:c r="I150" s="12" t="n"/>
      <x:c r="J150" s="12" t="n"/>
      <x:c r="K150" s="18">
        <x:f>IF(OR($G150="",$H150=""),"",$G150+$H150)</x:f>
      </x:c>
    </x:row>
    <x:row r="151">
      <x:c r="A151" s="12" t="n"/>
      <x:c r="B151" s="12" t="n"/>
      <x:c r="C151" s="12" t="n"/>
      <x:c r="D151" s="12" t="n"/>
      <x:c r="E151" s="12" t="n"/>
      <x:c r="F151" s="14" t="n"/>
      <x:c r="G151" s="13" t="n"/>
      <x:c r="H151" s="12" t="n"/>
      <x:c r="I151" s="12" t="n"/>
      <x:c r="J151" s="12" t="n"/>
      <x:c r="K151" s="18">
        <x:f>IF(OR($G151="",$H151=""),"",$G151+$H151)</x:f>
      </x:c>
    </x:row>
    <x:row r="152">
      <x:c r="A152" s="12" t="n"/>
      <x:c r="B152" s="12" t="n"/>
      <x:c r="C152" s="12" t="n"/>
      <x:c r="D152" s="12" t="n"/>
      <x:c r="E152" s="12" t="n"/>
      <x:c r="F152" s="14" t="n"/>
      <x:c r="G152" s="13" t="n"/>
      <x:c r="H152" s="12" t="n"/>
      <x:c r="I152" s="12" t="n"/>
      <x:c r="J152" s="12" t="n"/>
      <x:c r="K152" s="18">
        <x:f>IF(OR($G152="",$H152=""),"",$G152+$H152)</x:f>
      </x:c>
    </x:row>
    <x:row r="153">
      <x:c r="A153" s="12" t="n"/>
      <x:c r="B153" s="12" t="n"/>
      <x:c r="C153" s="12" t="n"/>
      <x:c r="D153" s="12" t="n"/>
      <x:c r="E153" s="12" t="n"/>
      <x:c r="F153" s="14" t="n"/>
      <x:c r="G153" s="13" t="n"/>
      <x:c r="H153" s="12" t="n"/>
      <x:c r="I153" s="12" t="n"/>
      <x:c r="J153" s="12" t="n"/>
      <x:c r="K153" s="18">
        <x:f>IF(OR($G153="",$H153=""),"",$G153+$H153)</x:f>
      </x:c>
    </x:row>
    <x:row r="154">
      <x:c r="A154" s="12" t="n"/>
      <x:c r="B154" s="12" t="n"/>
      <x:c r="C154" s="12" t="n"/>
      <x:c r="D154" s="12" t="n"/>
      <x:c r="E154" s="12" t="n"/>
      <x:c r="F154" s="14" t="n"/>
      <x:c r="G154" s="13" t="n"/>
      <x:c r="H154" s="12" t="n"/>
      <x:c r="I154" s="12" t="n"/>
      <x:c r="J154" s="12" t="n"/>
      <x:c r="K154" s="18">
        <x:f>IF(OR($G154="",$H154=""),"",$G154+$H154)</x:f>
      </x:c>
    </x:row>
    <x:row r="155">
      <x:c r="A155" s="12" t="n"/>
      <x:c r="B155" s="12" t="n"/>
      <x:c r="C155" s="12" t="n"/>
      <x:c r="D155" s="12" t="n"/>
      <x:c r="E155" s="12" t="n"/>
      <x:c r="F155" s="14" t="n"/>
      <x:c r="G155" s="13" t="n"/>
      <x:c r="H155" s="12" t="n"/>
      <x:c r="I155" s="12" t="n"/>
      <x:c r="J155" s="12" t="n"/>
      <x:c r="K155" s="18">
        <x:f>IF(OR($G155="",$H155=""),"",$G155+$H155)</x:f>
      </x:c>
    </x:row>
    <x:row r="156">
      <x:c r="A156" s="12" t="n"/>
      <x:c r="B156" s="12" t="n"/>
      <x:c r="C156" s="12" t="n"/>
      <x:c r="D156" s="12" t="n"/>
      <x:c r="E156" s="12" t="n"/>
      <x:c r="F156" s="14" t="n"/>
      <x:c r="G156" s="13" t="n"/>
      <x:c r="H156" s="12" t="n"/>
      <x:c r="I156" s="12" t="n"/>
      <x:c r="J156" s="12" t="n"/>
      <x:c r="K156" s="18">
        <x:f>IF(OR($G156="",$H156=""),"",$G156+$H156)</x:f>
      </x:c>
    </x:row>
    <x:row r="157">
      <x:c r="A157" s="12" t="n"/>
      <x:c r="B157" s="12" t="n"/>
      <x:c r="C157" s="12" t="n"/>
      <x:c r="D157" s="12" t="n"/>
      <x:c r="E157" s="12" t="n"/>
      <x:c r="F157" s="14" t="n"/>
      <x:c r="G157" s="13" t="n"/>
      <x:c r="H157" s="12" t="n"/>
      <x:c r="I157" s="12" t="n"/>
      <x:c r="J157" s="12" t="n"/>
      <x:c r="K157" s="18">
        <x:f>IF(OR($G157="",$H157=""),"",$G157+$H157)</x:f>
      </x:c>
    </x:row>
    <x:row r="158">
      <x:c r="A158" s="12" t="n"/>
      <x:c r="B158" s="12" t="n"/>
      <x:c r="C158" s="12" t="n"/>
      <x:c r="D158" s="12" t="n"/>
      <x:c r="E158" s="12" t="n"/>
      <x:c r="F158" s="14" t="n"/>
      <x:c r="G158" s="13" t="n"/>
      <x:c r="H158" s="12" t="n"/>
      <x:c r="I158" s="12" t="n"/>
      <x:c r="J158" s="12" t="n"/>
      <x:c r="K158" s="18">
        <x:f>IF(OR($G158="",$H158=""),"",$G158+$H158)</x:f>
      </x:c>
    </x:row>
    <x:row r="159">
      <x:c r="A159" s="12" t="n"/>
      <x:c r="B159" s="12" t="n"/>
      <x:c r="C159" s="12" t="n"/>
      <x:c r="D159" s="12" t="n"/>
      <x:c r="E159" s="12" t="n"/>
      <x:c r="F159" s="14" t="n"/>
      <x:c r="G159" s="13" t="n"/>
      <x:c r="H159" s="12" t="n"/>
      <x:c r="I159" s="12" t="n"/>
      <x:c r="J159" s="12" t="n"/>
      <x:c r="K159" s="18">
        <x:f>IF(OR($G159="",$H159=""),"",$G159+$H159)</x:f>
      </x:c>
    </x:row>
    <x:row r="160">
      <x:c r="A160" s="12" t="n"/>
      <x:c r="B160" s="12" t="n"/>
      <x:c r="C160" s="12" t="n"/>
      <x:c r="D160" s="12" t="n"/>
      <x:c r="E160" s="12" t="n"/>
      <x:c r="F160" s="14" t="n"/>
      <x:c r="G160" s="13" t="n"/>
      <x:c r="H160" s="12" t="n"/>
      <x:c r="I160" s="12" t="n"/>
      <x:c r="J160" s="12" t="n"/>
      <x:c r="K160" s="18">
        <x:f>IF(OR($G160="",$H160=""),"",$G160+$H160)</x:f>
      </x:c>
    </x:row>
    <x:row r="161">
      <x:c r="A161" s="12" t="n"/>
      <x:c r="B161" s="12" t="n"/>
      <x:c r="C161" s="12" t="n"/>
      <x:c r="D161" s="12" t="n"/>
      <x:c r="E161" s="12" t="n"/>
      <x:c r="F161" s="14" t="n"/>
      <x:c r="G161" s="13" t="n"/>
      <x:c r="H161" s="12" t="n"/>
      <x:c r="I161" s="12" t="n"/>
      <x:c r="J161" s="12" t="n"/>
      <x:c r="K161" s="18">
        <x:f>IF(OR($G161="",$H161=""),"",$G161+$H161)</x:f>
      </x:c>
    </x:row>
    <x:row r="162">
      <x:c r="A162" s="12" t="n"/>
      <x:c r="B162" s="12" t="n"/>
      <x:c r="C162" s="12" t="n"/>
      <x:c r="D162" s="12" t="n"/>
      <x:c r="E162" s="12" t="n"/>
      <x:c r="F162" s="14" t="n"/>
      <x:c r="G162" s="13" t="n"/>
      <x:c r="H162" s="12" t="n"/>
      <x:c r="I162" s="12" t="n"/>
      <x:c r="J162" s="12" t="n"/>
      <x:c r="K162" s="18">
        <x:f>IF(OR($G162="",$H162=""),"",$G162+$H162)</x:f>
      </x:c>
    </x:row>
    <x:row r="163">
      <x:c r="A163" s="12" t="n"/>
      <x:c r="B163" s="12" t="n"/>
      <x:c r="C163" s="12" t="n"/>
      <x:c r="D163" s="12" t="n"/>
      <x:c r="E163" s="12" t="n"/>
      <x:c r="F163" s="14" t="n"/>
      <x:c r="G163" s="13" t="n"/>
      <x:c r="H163" s="12" t="n"/>
      <x:c r="I163" s="12" t="n"/>
      <x:c r="J163" s="12" t="n"/>
      <x:c r="K163" s="18">
        <x:f>IF(OR($G163="",$H163=""),"",$G163+$H163)</x:f>
      </x:c>
    </x:row>
    <x:row r="164">
      <x:c r="A164" s="12" t="n"/>
      <x:c r="B164" s="12" t="n"/>
      <x:c r="C164" s="12" t="n"/>
      <x:c r="D164" s="12" t="n"/>
      <x:c r="E164" s="12" t="n"/>
      <x:c r="F164" s="14" t="n"/>
      <x:c r="G164" s="13" t="n"/>
      <x:c r="H164" s="12" t="n"/>
      <x:c r="I164" s="12" t="n"/>
      <x:c r="J164" s="12" t="n"/>
      <x:c r="K164" s="18">
        <x:f>IF(OR($G164="",$H164=""),"",$G164+$H164)</x:f>
      </x:c>
    </x:row>
    <x:row r="165">
      <x:c r="A165" s="12" t="n"/>
      <x:c r="B165" s="12" t="n"/>
      <x:c r="C165" s="12" t="n"/>
      <x:c r="D165" s="12" t="n"/>
      <x:c r="E165" s="12" t="n"/>
      <x:c r="F165" s="14" t="n"/>
      <x:c r="G165" s="13" t="n"/>
      <x:c r="H165" s="12" t="n"/>
      <x:c r="I165" s="12" t="n"/>
      <x:c r="J165" s="12" t="n"/>
      <x:c r="K165" s="18">
        <x:f>IF(OR($G165="",$H165=""),"",$G165+$H165)</x:f>
      </x:c>
    </x:row>
    <x:row r="166">
      <x:c r="A166" s="12" t="n"/>
      <x:c r="B166" s="12" t="n"/>
      <x:c r="C166" s="12" t="n"/>
      <x:c r="D166" s="12" t="n"/>
      <x:c r="E166" s="12" t="n"/>
      <x:c r="F166" s="14" t="n"/>
      <x:c r="G166" s="13" t="n"/>
      <x:c r="H166" s="12" t="n"/>
      <x:c r="I166" s="12" t="n"/>
      <x:c r="J166" s="12" t="n"/>
      <x:c r="K166" s="18">
        <x:f>IF(OR($G166="",$H166=""),"",$G166+$H166)</x:f>
      </x:c>
    </x:row>
    <x:row r="167">
      <x:c r="A167" s="12" t="n"/>
      <x:c r="B167" s="12" t="n"/>
      <x:c r="C167" s="12" t="n"/>
      <x:c r="D167" s="12" t="n"/>
      <x:c r="E167" s="12" t="n"/>
      <x:c r="F167" s="14" t="n"/>
      <x:c r="G167" s="13" t="n"/>
      <x:c r="H167" s="12" t="n"/>
      <x:c r="I167" s="12" t="n"/>
      <x:c r="J167" s="12" t="n"/>
      <x:c r="K167" s="18">
        <x:f>IF(OR($G167="",$H167=""),"",$G167+$H167)</x:f>
      </x:c>
    </x:row>
    <x:row r="168">
      <x:c r="A168" s="12" t="n"/>
      <x:c r="B168" s="12" t="n"/>
      <x:c r="C168" s="12" t="n"/>
      <x:c r="D168" s="12" t="n"/>
      <x:c r="E168" s="12" t="n"/>
      <x:c r="F168" s="14" t="n"/>
      <x:c r="G168" s="13" t="n"/>
      <x:c r="H168" s="12" t="n"/>
      <x:c r="I168" s="12" t="n"/>
      <x:c r="J168" s="12" t="n"/>
      <x:c r="K168" s="18">
        <x:f>IF(OR($G168="",$H168=""),"",$G168+$H168)</x:f>
      </x:c>
    </x:row>
    <x:row r="169">
      <x:c r="A169" s="12" t="n"/>
      <x:c r="B169" s="12" t="n"/>
      <x:c r="C169" s="12" t="n"/>
      <x:c r="D169" s="12" t="n"/>
      <x:c r="E169" s="12" t="n"/>
      <x:c r="F169" s="14" t="n"/>
      <x:c r="G169" s="13" t="n"/>
      <x:c r="H169" s="12" t="n"/>
      <x:c r="I169" s="12" t="n"/>
      <x:c r="J169" s="12" t="n"/>
      <x:c r="K169" s="18">
        <x:f>IF(OR($G169="",$H169=""),"",$G169+$H169)</x:f>
      </x:c>
    </x:row>
    <x:row r="170">
      <x:c r="A170" s="12" t="n"/>
      <x:c r="B170" s="12" t="n"/>
      <x:c r="C170" s="12" t="n"/>
      <x:c r="D170" s="12" t="n"/>
      <x:c r="E170" s="12" t="n"/>
      <x:c r="F170" s="14" t="n"/>
      <x:c r="G170" s="13" t="n"/>
      <x:c r="H170" s="12" t="n"/>
      <x:c r="I170" s="12" t="n"/>
      <x:c r="J170" s="12" t="n"/>
      <x:c r="K170" s="18">
        <x:f>IF(OR($G170="",$H170=""),"",$G170+$H170)</x:f>
      </x:c>
    </x:row>
    <x:row r="171">
      <x:c r="A171" s="12" t="n"/>
      <x:c r="B171" s="12" t="n"/>
      <x:c r="C171" s="12" t="n"/>
      <x:c r="D171" s="12" t="n"/>
      <x:c r="E171" s="12" t="n"/>
      <x:c r="F171" s="14" t="n"/>
      <x:c r="G171" s="13" t="n"/>
      <x:c r="H171" s="12" t="n"/>
      <x:c r="I171" s="12" t="n"/>
      <x:c r="J171" s="12" t="n"/>
      <x:c r="K171" s="18">
        <x:f>IF(OR($G171="",$H171=""),"",$G171+$H171)</x:f>
      </x:c>
    </x:row>
    <x:row r="172">
      <x:c r="A172" s="12" t="n"/>
      <x:c r="B172" s="12" t="n"/>
      <x:c r="C172" s="12" t="n"/>
      <x:c r="D172" s="12" t="n"/>
      <x:c r="E172" s="12" t="n"/>
      <x:c r="F172" s="14" t="n"/>
      <x:c r="G172" s="13" t="n"/>
      <x:c r="H172" s="12" t="n"/>
      <x:c r="I172" s="12" t="n"/>
      <x:c r="J172" s="12" t="n"/>
      <x:c r="K172" s="18">
        <x:f>IF(OR($G172="",$H172=""),"",$G172+$H172)</x:f>
      </x:c>
    </x:row>
    <x:row r="173">
      <x:c r="A173" s="12" t="n"/>
      <x:c r="B173" s="12" t="n"/>
      <x:c r="C173" s="12" t="n"/>
      <x:c r="D173" s="12" t="n"/>
      <x:c r="E173" s="12" t="n"/>
      <x:c r="F173" s="14" t="n"/>
      <x:c r="G173" s="13" t="n"/>
      <x:c r="H173" s="12" t="n"/>
      <x:c r="I173" s="12" t="n"/>
      <x:c r="J173" s="12" t="n"/>
      <x:c r="K173" s="18">
        <x:f>IF(OR($G173="",$H173=""),"",$G173+$H173)</x:f>
      </x:c>
    </x:row>
    <x:row r="174">
      <x:c r="A174" s="12" t="n"/>
      <x:c r="B174" s="12" t="n"/>
      <x:c r="C174" s="12" t="n"/>
      <x:c r="D174" s="12" t="n"/>
      <x:c r="E174" s="12" t="n"/>
      <x:c r="F174" s="14" t="n"/>
      <x:c r="G174" s="13" t="n"/>
      <x:c r="H174" s="12" t="n"/>
      <x:c r="I174" s="12" t="n"/>
      <x:c r="J174" s="12" t="n"/>
      <x:c r="K174" s="18">
        <x:f>IF(OR($G174="",$H174=""),"",$G174+$H174)</x:f>
      </x:c>
    </x:row>
    <x:row r="175">
      <x:c r="A175" s="12" t="n"/>
      <x:c r="B175" s="12" t="n"/>
      <x:c r="C175" s="12" t="n"/>
      <x:c r="D175" s="12" t="n"/>
      <x:c r="E175" s="12" t="n"/>
      <x:c r="F175" s="14" t="n"/>
      <x:c r="G175" s="13" t="n"/>
      <x:c r="H175" s="12" t="n"/>
      <x:c r="I175" s="12" t="n"/>
      <x:c r="J175" s="12" t="n"/>
      <x:c r="K175" s="18">
        <x:f>IF(OR($G175="",$H175=""),"",$G175+$H175)</x:f>
      </x:c>
    </x:row>
    <x:row r="176">
      <x:c r="A176" s="12" t="n"/>
      <x:c r="B176" s="12" t="n"/>
      <x:c r="C176" s="12" t="n"/>
      <x:c r="D176" s="12" t="n"/>
      <x:c r="E176" s="12" t="n"/>
      <x:c r="F176" s="14" t="n"/>
      <x:c r="G176" s="13" t="n"/>
      <x:c r="H176" s="12" t="n"/>
      <x:c r="I176" s="12" t="n"/>
      <x:c r="J176" s="12" t="n"/>
      <x:c r="K176" s="18">
        <x:f>IF(OR($G176="",$H176=""),"",$G176+$H176)</x:f>
      </x:c>
    </x:row>
    <x:row r="177">
      <x:c r="A177" s="12" t="n"/>
      <x:c r="B177" s="12" t="n"/>
      <x:c r="C177" s="12" t="n"/>
      <x:c r="D177" s="12" t="n"/>
      <x:c r="E177" s="12" t="n"/>
      <x:c r="F177" s="14" t="n"/>
      <x:c r="G177" s="13" t="n"/>
      <x:c r="H177" s="12" t="n"/>
      <x:c r="I177" s="12" t="n"/>
      <x:c r="J177" s="12" t="n"/>
      <x:c r="K177" s="18">
        <x:f>IF(OR($G177="",$H177=""),"",$G177+$H177)</x:f>
      </x:c>
    </x:row>
    <x:row r="178">
      <x:c r="A178" s="12" t="n"/>
      <x:c r="B178" s="12" t="n"/>
      <x:c r="C178" s="12" t="n"/>
      <x:c r="D178" s="12" t="n"/>
      <x:c r="E178" s="12" t="n"/>
      <x:c r="F178" s="14" t="n"/>
      <x:c r="G178" s="13" t="n"/>
      <x:c r="H178" s="12" t="n"/>
      <x:c r="I178" s="12" t="n"/>
      <x:c r="J178" s="12" t="n"/>
      <x:c r="K178" s="18">
        <x:f>IF(OR($G178="",$H178=""),"",$G178+$H178)</x:f>
      </x:c>
    </x:row>
    <x:row r="179">
      <x:c r="A179" s="12" t="n"/>
      <x:c r="B179" s="12" t="n"/>
      <x:c r="C179" s="12" t="n"/>
      <x:c r="D179" s="12" t="n"/>
      <x:c r="E179" s="12" t="n"/>
      <x:c r="F179" s="14" t="n"/>
      <x:c r="G179" s="13" t="n"/>
      <x:c r="H179" s="12" t="n"/>
      <x:c r="I179" s="12" t="n"/>
      <x:c r="J179" s="12" t="n"/>
      <x:c r="K179" s="18">
        <x:f>IF(OR($G179="",$H179=""),"",$G179+$H179)</x:f>
      </x:c>
    </x:row>
    <x:row r="180">
      <x:c r="A180" s="12" t="n"/>
      <x:c r="B180" s="12" t="n"/>
      <x:c r="C180" s="12" t="n"/>
      <x:c r="D180" s="12" t="n"/>
      <x:c r="E180" s="12" t="n"/>
      <x:c r="F180" s="14" t="n"/>
      <x:c r="G180" s="13" t="n"/>
      <x:c r="H180" s="12" t="n"/>
      <x:c r="I180" s="12" t="n"/>
      <x:c r="J180" s="12" t="n"/>
      <x:c r="K180" s="18">
        <x:f>IF(OR($G180="",$H180=""),"",$G180+$H180)</x:f>
      </x:c>
    </x:row>
    <x:row r="181">
      <x:c r="A181" s="12" t="n"/>
      <x:c r="B181" s="12" t="n"/>
      <x:c r="C181" s="12" t="n"/>
      <x:c r="D181" s="12" t="n"/>
      <x:c r="E181" s="12" t="n"/>
      <x:c r="F181" s="14" t="n"/>
      <x:c r="G181" s="13" t="n"/>
      <x:c r="H181" s="12" t="n"/>
      <x:c r="I181" s="12" t="n"/>
      <x:c r="J181" s="12" t="n"/>
      <x:c r="K181" s="18">
        <x:f>IF(OR($G181="",$H181=""),"",$G181+$H181)</x:f>
      </x:c>
    </x:row>
    <x:row r="182">
      <x:c r="A182" s="12" t="n"/>
      <x:c r="B182" s="12" t="n"/>
      <x:c r="C182" s="12" t="n"/>
      <x:c r="D182" s="12" t="n"/>
      <x:c r="E182" s="12" t="n"/>
      <x:c r="F182" s="14" t="n"/>
      <x:c r="G182" s="13" t="n"/>
      <x:c r="H182" s="12" t="n"/>
      <x:c r="I182" s="12" t="n"/>
      <x:c r="J182" s="12" t="n"/>
      <x:c r="K182" s="18">
        <x:f>IF(OR($G182="",$H182=""),"",$G182+$H182)</x:f>
      </x:c>
    </x:row>
    <x:row r="183">
      <x:c r="A183" s="12" t="n"/>
      <x:c r="B183" s="12" t="n"/>
      <x:c r="C183" s="12" t="n"/>
      <x:c r="D183" s="12" t="n"/>
      <x:c r="E183" s="12" t="n"/>
      <x:c r="F183" s="14" t="n"/>
      <x:c r="G183" s="13" t="n"/>
      <x:c r="H183" s="12" t="n"/>
      <x:c r="I183" s="12" t="n"/>
      <x:c r="J183" s="12" t="n"/>
      <x:c r="K183" s="18">
        <x:f>IF(OR($G183="",$H183=""),"",$G183+$H183)</x:f>
      </x:c>
    </x:row>
    <x:row r="184">
      <x:c r="A184" s="12" t="n"/>
      <x:c r="B184" s="12" t="n"/>
      <x:c r="C184" s="12" t="n"/>
      <x:c r="D184" s="12" t="n"/>
      <x:c r="E184" s="12" t="n"/>
      <x:c r="F184" s="14" t="n"/>
      <x:c r="G184" s="13" t="n"/>
      <x:c r="H184" s="12" t="n"/>
      <x:c r="I184" s="12" t="n"/>
      <x:c r="J184" s="12" t="n"/>
      <x:c r="K184" s="18">
        <x:f>IF(OR($G184="",$H184=""),"",$G184+$H184)</x:f>
      </x:c>
    </x:row>
    <x:row r="185">
      <x:c r="A185" s="12" t="n"/>
      <x:c r="B185" s="12" t="n"/>
      <x:c r="C185" s="12" t="n"/>
      <x:c r="D185" s="12" t="n"/>
      <x:c r="E185" s="12" t="n"/>
      <x:c r="F185" s="14" t="n"/>
      <x:c r="G185" s="13" t="n"/>
      <x:c r="H185" s="12" t="n"/>
      <x:c r="I185" s="12" t="n"/>
      <x:c r="J185" s="12" t="n"/>
      <x:c r="K185" s="18">
        <x:f>IF(OR($G185="",$H185=""),"",$G185+$H185)</x:f>
      </x:c>
    </x:row>
    <x:row r="186">
      <x:c r="A186" s="12" t="n"/>
      <x:c r="B186" s="12" t="n"/>
      <x:c r="C186" s="12" t="n"/>
      <x:c r="D186" s="12" t="n"/>
      <x:c r="E186" s="12" t="n"/>
      <x:c r="F186" s="14" t="n"/>
      <x:c r="G186" s="13" t="n"/>
      <x:c r="H186" s="12" t="n"/>
      <x:c r="I186" s="12" t="n"/>
      <x:c r="J186" s="12" t="n"/>
      <x:c r="K186" s="18">
        <x:f>IF(OR($G186="",$H186=""),"",$G186+$H186)</x:f>
      </x:c>
    </x:row>
    <x:row r="187">
      <x:c r="A187" s="12" t="n"/>
      <x:c r="B187" s="12" t="n"/>
      <x:c r="C187" s="12" t="n"/>
      <x:c r="D187" s="12" t="n"/>
      <x:c r="E187" s="12" t="n"/>
      <x:c r="F187" s="14" t="n"/>
      <x:c r="G187" s="13" t="n"/>
      <x:c r="H187" s="12" t="n"/>
      <x:c r="I187" s="12" t="n"/>
      <x:c r="J187" s="12" t="n"/>
      <x:c r="K187" s="18">
        <x:f>IF(OR($G187="",$H187=""),"",$G187+$H187)</x:f>
      </x:c>
    </x:row>
    <x:row r="188">
      <x:c r="A188" s="12" t="n"/>
      <x:c r="B188" s="12" t="n"/>
      <x:c r="C188" s="12" t="n"/>
      <x:c r="D188" s="12" t="n"/>
      <x:c r="E188" s="12" t="n"/>
      <x:c r="F188" s="14" t="n"/>
      <x:c r="G188" s="13" t="n"/>
      <x:c r="H188" s="12" t="n"/>
      <x:c r="I188" s="12" t="n"/>
      <x:c r="J188" s="12" t="n"/>
      <x:c r="K188" s="18">
        <x:f>IF(OR($G188="",$H188=""),"",$G188+$H188)</x:f>
      </x:c>
    </x:row>
    <x:row r="189">
      <x:c r="A189" s="12" t="n"/>
      <x:c r="B189" s="12" t="n"/>
      <x:c r="C189" s="12" t="n"/>
      <x:c r="D189" s="12" t="n"/>
      <x:c r="E189" s="12" t="n"/>
      <x:c r="F189" s="14" t="n"/>
      <x:c r="G189" s="13" t="n"/>
      <x:c r="H189" s="12" t="n"/>
      <x:c r="I189" s="12" t="n"/>
      <x:c r="J189" s="12" t="n"/>
      <x:c r="K189" s="18">
        <x:f>IF(OR($G189="",$H189=""),"",$G189+$H189)</x:f>
      </x:c>
    </x:row>
    <x:row r="190">
      <x:c r="A190" s="12" t="n"/>
      <x:c r="B190" s="12" t="n"/>
      <x:c r="C190" s="12" t="n"/>
      <x:c r="D190" s="12" t="n"/>
      <x:c r="E190" s="12" t="n"/>
      <x:c r="F190" s="14" t="n"/>
      <x:c r="G190" s="13" t="n"/>
      <x:c r="H190" s="12" t="n"/>
      <x:c r="I190" s="12" t="n"/>
      <x:c r="J190" s="12" t="n"/>
      <x:c r="K190" s="18">
        <x:f>IF(OR($G190="",$H190=""),"",$G190+$H190)</x:f>
      </x:c>
    </x:row>
    <x:row r="191">
      <x:c r="A191" s="12" t="n"/>
      <x:c r="B191" s="12" t="n"/>
      <x:c r="C191" s="12" t="n"/>
      <x:c r="D191" s="12" t="n"/>
      <x:c r="E191" s="12" t="n"/>
      <x:c r="F191" s="14" t="n"/>
      <x:c r="G191" s="13" t="n"/>
      <x:c r="H191" s="12" t="n"/>
      <x:c r="I191" s="12" t="n"/>
      <x:c r="J191" s="12" t="n"/>
      <x:c r="K191" s="18">
        <x:f>IF(OR($G191="",$H191=""),"",$G191+$H191)</x:f>
      </x:c>
    </x:row>
    <x:row r="192">
      <x:c r="A192" s="12" t="n"/>
      <x:c r="B192" s="12" t="n"/>
      <x:c r="C192" s="12" t="n"/>
      <x:c r="D192" s="12" t="n"/>
      <x:c r="E192" s="12" t="n"/>
      <x:c r="F192" s="14" t="n"/>
      <x:c r="G192" s="13" t="n"/>
      <x:c r="H192" s="12" t="n"/>
      <x:c r="I192" s="12" t="n"/>
      <x:c r="J192" s="12" t="n"/>
      <x:c r="K192" s="18">
        <x:f>IF(OR($G192="",$H192=""),"",$G192+$H192)</x:f>
      </x:c>
    </x:row>
    <x:row r="193">
      <x:c r="A193" s="12" t="n"/>
      <x:c r="B193" s="12" t="n"/>
      <x:c r="C193" s="12" t="n"/>
      <x:c r="D193" s="12" t="n"/>
      <x:c r="E193" s="12" t="n"/>
      <x:c r="F193" s="14" t="n"/>
      <x:c r="G193" s="13" t="n"/>
      <x:c r="H193" s="12" t="n"/>
      <x:c r="I193" s="12" t="n"/>
      <x:c r="J193" s="12" t="n"/>
      <x:c r="K193" s="18">
        <x:f>IF(OR($G193="",$H193=""),"",$G193+$H193)</x:f>
      </x:c>
    </x:row>
    <x:row r="194">
      <x:c r="A194" s="12" t="n"/>
      <x:c r="B194" s="12" t="n"/>
      <x:c r="C194" s="12" t="n"/>
      <x:c r="D194" s="12" t="n"/>
      <x:c r="E194" s="12" t="n"/>
      <x:c r="F194" s="14" t="n"/>
      <x:c r="G194" s="13" t="n"/>
      <x:c r="H194" s="12" t="n"/>
      <x:c r="I194" s="12" t="n"/>
      <x:c r="J194" s="12" t="n"/>
      <x:c r="K194" s="18">
        <x:f>IF(OR($G194="",$H194=""),"",$G194+$H194)</x:f>
      </x:c>
    </x:row>
    <x:row r="195">
      <x:c r="A195" s="12" t="n"/>
      <x:c r="B195" s="12" t="n"/>
      <x:c r="C195" s="12" t="n"/>
      <x:c r="D195" s="12" t="n"/>
      <x:c r="E195" s="12" t="n"/>
      <x:c r="F195" s="14" t="n"/>
      <x:c r="G195" s="13" t="n"/>
      <x:c r="H195" s="12" t="n"/>
      <x:c r="I195" s="12" t="n"/>
      <x:c r="J195" s="12" t="n"/>
      <x:c r="K195" s="18">
        <x:f>IF(OR($G195="",$H195=""),"",$G195+$H195)</x:f>
      </x:c>
    </x:row>
    <x:row r="196">
      <x:c r="A196" s="12" t="n"/>
      <x:c r="B196" s="12" t="n"/>
      <x:c r="C196" s="12" t="n"/>
      <x:c r="D196" s="12" t="n"/>
      <x:c r="E196" s="12" t="n"/>
      <x:c r="F196" s="14" t="n"/>
      <x:c r="G196" s="13" t="n"/>
      <x:c r="H196" s="12" t="n"/>
      <x:c r="I196" s="12" t="n"/>
      <x:c r="J196" s="12" t="n"/>
      <x:c r="K196" s="18">
        <x:f>IF(OR($G196="",$H196=""),"",$G196+$H196)</x:f>
      </x:c>
    </x:row>
    <x:row r="197">
      <x:c r="A197" s="12" t="n"/>
      <x:c r="B197" s="12" t="n"/>
      <x:c r="C197" s="12" t="n"/>
      <x:c r="D197" s="12" t="n"/>
      <x:c r="E197" s="12" t="n"/>
      <x:c r="F197" s="14" t="n"/>
      <x:c r="G197" s="13" t="n"/>
      <x:c r="H197" s="12" t="n"/>
      <x:c r="I197" s="12" t="n"/>
      <x:c r="J197" s="12" t="n"/>
      <x:c r="K197" s="18">
        <x:f>IF(OR($G197="",$H197=""),"",$G197+$H197)</x:f>
      </x:c>
    </x:row>
    <x:row r="198">
      <x:c r="A198" s="12" t="n"/>
      <x:c r="B198" s="12" t="n"/>
      <x:c r="C198" s="12" t="n"/>
      <x:c r="D198" s="12" t="n"/>
      <x:c r="E198" s="12" t="n"/>
      <x:c r="F198" s="14" t="n"/>
      <x:c r="G198" s="13" t="n"/>
      <x:c r="H198" s="12" t="n"/>
      <x:c r="I198" s="12" t="n"/>
      <x:c r="J198" s="12" t="n"/>
      <x:c r="K198" s="18">
        <x:f>IF(OR($G198="",$H198=""),"",$G198+$H198)</x:f>
      </x:c>
    </x:row>
    <x:row r="199">
      <x:c r="A199" s="12" t="n"/>
      <x:c r="B199" s="12" t="n"/>
      <x:c r="C199" s="12" t="n"/>
      <x:c r="D199" s="12" t="n"/>
      <x:c r="E199" s="12" t="n"/>
      <x:c r="F199" s="14" t="n"/>
      <x:c r="G199" s="13" t="n"/>
      <x:c r="H199" s="12" t="n"/>
      <x:c r="I199" s="12" t="n"/>
      <x:c r="J199" s="12" t="n"/>
      <x:c r="K199" s="18">
        <x:f>IF(OR($G199="",$H199=""),"",$G199+$H199)</x:f>
      </x:c>
    </x:row>
    <x:row r="200">
      <x:c r="A200" s="12" t="n"/>
      <x:c r="B200" s="12" t="n"/>
      <x:c r="C200" s="12" t="n"/>
      <x:c r="D200" s="12" t="n"/>
      <x:c r="E200" s="12" t="n"/>
      <x:c r="F200" s="14" t="n"/>
      <x:c r="G200" s="13" t="n"/>
      <x:c r="H200" s="12" t="n"/>
      <x:c r="I200" s="12" t="n"/>
      <x:c r="J200" s="12" t="n"/>
      <x:c r="K200" s="18">
        <x:f>IF(OR($G200="",$H200=""),"",$G200+$H200)</x:f>
      </x:c>
    </x:row>
    <x:row r="201">
      <x:c r="A201" s="12" t="n"/>
      <x:c r="B201" s="12" t="n"/>
      <x:c r="C201" s="12" t="n"/>
      <x:c r="D201" s="12" t="n"/>
      <x:c r="E201" s="12" t="n"/>
      <x:c r="F201" s="14" t="n"/>
      <x:c r="G201" s="13" t="n"/>
      <x:c r="H201" s="12" t="n"/>
      <x:c r="I201" s="12" t="n"/>
      <x:c r="J201" s="12" t="n"/>
      <x:c r="K201" s="18">
        <x:f>IF(OR($G201="",$H201=""),"",$G201+$H201)</x:f>
      </x:c>
    </x:row>
  </x:sheetData>
  <x:dataValidations count="1">
    <x:dataValidation type="list" allowBlank="1" showDropDown="0" showInputMessage="0" showErrorMessage="0" sqref="J2:J201">
      <x:formula1>"在供,完工,暂停,关闭"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0" customWidth="1"/>
    <x:col min="4" max="4" width="20" customWidth="1"/>
    <x:col min="5" max="5" width="12" customWidth="1"/>
    <x:col min="6" max="6" width="14" customWidth="1"/>
    <x:col min="7" max="7" width="14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4" customWidth="1"/>
    <x:col min="14" max="14" width="10" customWidth="1"/>
    <x:col min="15" max="15" width="12" customWidth="1"/>
    <x:col min="16" max="16" width="11" customWidth="1"/>
    <x:col min="17" max="17" width="10" customWidth="1"/>
    <x:col min="18" max="18" width="20" customWidth="1"/>
    <x:col min="19" max="19" width="12" customWidth="1"/>
    <x:col min="20" max="20" width="16" customWidth="1"/>
    <x:col min="21" max="21" width="12" customWidth="1"/>
  </x:cols>
  <x:sheetData>
    <x:row r="1" ht="24" customHeight="1">
      <x:c r="A1" s="8" t="inlineStr">
        <x:is>
          <x:t xml:space="preserve">账款ID</x:t>
        </x:is>
      </x:c>
      <x:c r="B1" s="8" t="inlineStr">
        <x:is>
          <x:t xml:space="preserve">客户ID</x:t>
        </x:is>
      </x:c>
      <x:c r="C1" s="8" t="inlineStr">
        <x:is>
          <x:t xml:space="preserve">客户名称</x:t>
        </x:is>
      </x:c>
      <x:c r="D1" s="8" t="inlineStr">
        <x:is>
          <x:t xml:space="preserve">项目名称</x:t>
        </x:is>
      </x:c>
      <x:c r="E1" s="8" t="inlineStr">
        <x:is>
          <x:t xml:space="preserve">合同ID</x:t>
        </x:is>
      </x:c>
      <x:c r="F1" s="8" t="inlineStr">
        <x:is>
          <x:t xml:space="preserve">应收金额(元)</x:t>
        </x:is>
      </x:c>
      <x:c r="G1" s="8" t="inlineStr">
        <x:is>
          <x:t xml:space="preserve">已收金额(元)</x:t>
        </x:is>
      </x:c>
      <x:c r="H1" s="8" t="inlineStr">
        <x:is>
          <x:t xml:space="preserve">未收金额(元)</x:t>
        </x:is>
      </x:c>
      <x:c r="I1" s="8" t="inlineStr">
        <x:is>
          <x:t xml:space="preserve">到期日</x:t>
        </x:is>
      </x:c>
      <x:c r="J1" s="8" t="inlineStr">
        <x:is>
          <x:t xml:space="preserve">逾期天数</x:t>
        </x:is>
      </x:c>
      <x:c r="K1" s="8" t="inlineStr">
        <x:is>
          <x:t xml:space="preserve">账龄阶段</x:t>
        </x:is>
      </x:c>
      <x:c r="L1" s="8" t="inlineStr">
        <x:is>
          <x:t xml:space="preserve">本月应收(元)</x:t>
        </x:is>
      </x:c>
      <x:c r="M1" s="8" t="inlineStr">
        <x:is>
          <x:t xml:space="preserve">本月回款(元)</x:t>
        </x:is>
      </x:c>
      <x:c r="N1" s="8" t="inlineStr">
        <x:is>
          <x:t xml:space="preserve">回款率</x:t>
        </x:is>
      </x:c>
      <x:c r="O1" s="8" t="inlineStr">
        <x:is>
          <x:t xml:space="preserve">责任业务员</x:t>
        </x:is>
      </x:c>
      <x:c r="P1" s="8" t="inlineStr">
        <x:is>
          <x:t xml:space="preserve">额度占用率</x:t>
        </x:is>
      </x:c>
      <x:c r="Q1" s="8" t="inlineStr">
        <x:is>
          <x:t xml:space="preserve">预警等级</x:t>
        </x:is>
      </x:c>
      <x:c r="R1" s="8" t="inlineStr">
        <x:is>
          <x:t xml:space="preserve">建议措施</x:t>
        </x:is>
      </x:c>
      <x:c r="S1" s="8" t="inlineStr">
        <x:is>
          <x:t xml:space="preserve">最近跟进日期</x:t>
        </x:is>
      </x:c>
      <x:c r="T1" s="8" t="inlineStr">
        <x:is>
          <x:t xml:space="preserve">备注</x:t>
        </x:is>
      </x:c>
      <x:c r="U1" s="8" t="inlineStr">
        <x:is>
          <x:t xml:space="preserve">催收排序分</x:t>
        </x:is>
      </x:c>
    </x:row>
    <x:row r="2">
      <x:c r="A2" s="12" t="n"/>
      <x:c r="B2" s="12" t="n"/>
      <x:c r="C2" s="12" t="n"/>
      <x:c r="D2" s="12" t="n"/>
      <x:c r="E2" s="12" t="n"/>
      <x:c r="F2" s="14" t="n"/>
      <x:c r="G2" s="14" t="n"/>
      <x:c r="H2" s="15">
        <x:f>IF(AND($F2="",$G2=""),"",MAX($F2-$G2,0))</x:f>
      </x:c>
      <x:c r="I2" s="13" t="n"/>
      <x:c r="J2" s="17">
        <x:f>IF($A2="","",IF(OR($I2="",$H2&lt;=0),"",MAX(TODAY()-$I2,0)))</x:f>
      </x:c>
      <x:c r="K2" s="17">
        <x:f>IF($A2="","",IF($H2&lt;=0,"已回清",IF($I2="","",IF($J2=0,"未到期",IF($J2&lt;=30,"1-30天",IF($J2&lt;=60,"31-60天",IF($J2&lt;=90,"61-90天","90天以上")))))))</x:f>
      </x:c>
      <x:c r="L2" s="14" t="n"/>
      <x:c r="M2" s="14" t="n"/>
      <x:c r="N2" s="16">
        <x:f>IF($A2="","",IF($F2="","",IF($F2=0,0,$G2/$F2)))</x:f>
      </x:c>
      <x:c r="O2" s="12" t="n"/>
      <x:c r="P2" s="16">
        <x:f>IF(OR($B2="",$H2=""),"",IFERROR($H2/VLOOKUP($B2,Customers!$A$2:$J$201,10,FALSE),""))</x:f>
      </x:c>
      <x:c r="Q2" s="17">
        <x:f>IF($A2="","",IF($H2&lt;=0,"已回清",IF($J2="","",IF($J2&gt;90,"坏账风险",IF($J2&gt;60,"高风险",IF($J2&gt;30,"中风险",IF($J2&gt;0,"预警","正常")))))))</x:f>
      </x:c>
      <x:c r="R2" s="17">
        <x:f>IF($A2="","",IF($Q2="","",IF($Q2="坏账风险","法务介入 / 准备诉讼",IF($Q2="高风险","上门沟通 / 部门经理介入",IF($Q2="中风险","电话催收 / 周度跟进",IF($Q2="预警","提醒客户按期回款","持续跟踪"))))))</x:f>
      </x:c>
      <x:c r="S2" s="13" t="n"/>
      <x:c r="T2" s="12" t="n"/>
      <x:c r="U2" s="17">
        <x:f>IF($A2="","",IF($H2&lt;=0,0,IF($J2="",0,$J2*100000000+$H2*100+ROW()/1000)))</x:f>
      </x:c>
    </x:row>
    <x:row r="3">
      <x:c r="A3" s="12" t="n"/>
      <x:c r="B3" s="12" t="n"/>
      <x:c r="C3" s="12" t="n"/>
      <x:c r="D3" s="12" t="n"/>
      <x:c r="E3" s="12" t="n"/>
      <x:c r="F3" s="14" t="n"/>
      <x:c r="G3" s="14" t="n"/>
      <x:c r="H3" s="15">
        <x:f>IF(AND($F3="",$G3=""),"",MAX($F3-$G3,0))</x:f>
      </x:c>
      <x:c r="I3" s="13" t="n"/>
      <x:c r="J3" s="17">
        <x:f>IF($A3="","",IF(OR($I3="",$H3&lt;=0),"",MAX(TODAY()-$I3,0)))</x:f>
      </x:c>
      <x:c r="K3" s="17">
        <x:f>IF($A3="","",IF($H3&lt;=0,"已回清",IF($I3="","",IF($J3=0,"未到期",IF($J3&lt;=30,"1-30天",IF($J3&lt;=60,"31-60天",IF($J3&lt;=90,"61-90天","90天以上")))))))</x:f>
      </x:c>
      <x:c r="L3" s="14" t="n"/>
      <x:c r="M3" s="14" t="n"/>
      <x:c r="N3" s="16">
        <x:f>IF($A3="","",IF($F3="","",IF($F3=0,0,$G3/$F3)))</x:f>
      </x:c>
      <x:c r="O3" s="12" t="n"/>
      <x:c r="P3" s="16">
        <x:f>IF(OR($B3="",$H3=""),"",IFERROR($H3/VLOOKUP($B3,Customers!$A$2:$J$201,10,FALSE),""))</x:f>
      </x:c>
      <x:c r="Q3" s="17">
        <x:f>IF($A3="","",IF($H3&lt;=0,"已回清",IF($J3="","",IF($J3&gt;90,"坏账风险",IF($J3&gt;60,"高风险",IF($J3&gt;30,"中风险",IF($J3&gt;0,"预警","正常")))))))</x:f>
      </x:c>
      <x:c r="R3" s="17">
        <x:f>IF($A3="","",IF($Q3="","",IF($Q3="坏账风险","法务介入 / 准备诉讼",IF($Q3="高风险","上门沟通 / 部门经理介入",IF($Q3="中风险","电话催收 / 周度跟进",IF($Q3="预警","提醒客户按期回款","持续跟踪"))))))</x:f>
      </x:c>
      <x:c r="S3" s="13" t="n"/>
      <x:c r="T3" s="12" t="n"/>
      <x:c r="U3" s="17">
        <x:f>IF($A3="","",IF($H3&lt;=0,0,IF($J3="",0,$J3*100000000+$H3*100+ROW()/1000)))</x:f>
      </x:c>
    </x:row>
    <x:row r="4">
      <x:c r="A4" s="12" t="n"/>
      <x:c r="B4" s="12" t="n"/>
      <x:c r="C4" s="12" t="n"/>
      <x:c r="D4" s="12" t="n"/>
      <x:c r="E4" s="12" t="n"/>
      <x:c r="F4" s="14" t="n"/>
      <x:c r="G4" s="14" t="n"/>
      <x:c r="H4" s="15">
        <x:f>IF(AND($F4="",$G4=""),"",MAX($F4-$G4,0))</x:f>
      </x:c>
      <x:c r="I4" s="13" t="n"/>
      <x:c r="J4" s="17">
        <x:f>IF($A4="","",IF(OR($I4="",$H4&lt;=0),"",MAX(TODAY()-$I4,0)))</x:f>
      </x:c>
      <x:c r="K4" s="17">
        <x:f>IF($A4="","",IF($H4&lt;=0,"已回清",IF($I4="","",IF($J4=0,"未到期",IF($J4&lt;=30,"1-30天",IF($J4&lt;=60,"31-60天",IF($J4&lt;=90,"61-90天","90天以上")))))))</x:f>
      </x:c>
      <x:c r="L4" s="14" t="n"/>
      <x:c r="M4" s="14" t="n"/>
      <x:c r="N4" s="16">
        <x:f>IF($A4="","",IF($F4="","",IF($F4=0,0,$G4/$F4)))</x:f>
      </x:c>
      <x:c r="O4" s="12" t="n"/>
      <x:c r="P4" s="16">
        <x:f>IF(OR($B4="",$H4=""),"",IFERROR($H4/VLOOKUP($B4,Customers!$A$2:$J$201,10,FALSE),""))</x:f>
      </x:c>
      <x:c r="Q4" s="17">
        <x:f>IF($A4="","",IF($H4&lt;=0,"已回清",IF($J4="","",IF($J4&gt;90,"坏账风险",IF($J4&gt;60,"高风险",IF($J4&gt;30,"中风险",IF($J4&gt;0,"预警","正常")))))))</x:f>
      </x:c>
      <x:c r="R4" s="17">
        <x:f>IF($A4="","",IF($Q4="","",IF($Q4="坏账风险","法务介入 / 准备诉讼",IF($Q4="高风险","上门沟通 / 部门经理介入",IF($Q4="中风险","电话催收 / 周度跟进",IF($Q4="预警","提醒客户按期回款","持续跟踪"))))))</x:f>
      </x:c>
      <x:c r="S4" s="13" t="n"/>
      <x:c r="T4" s="12" t="n"/>
      <x:c r="U4" s="17">
        <x:f>IF($A4="","",IF($H4&lt;=0,0,IF($J4="",0,$J4*100000000+$H4*100+ROW()/1000)))</x:f>
      </x:c>
    </x:row>
    <x:row r="5">
      <x:c r="A5" s="12" t="n"/>
      <x:c r="B5" s="12" t="n"/>
      <x:c r="C5" s="12" t="n"/>
      <x:c r="D5" s="12" t="n"/>
      <x:c r="E5" s="12" t="n"/>
      <x:c r="F5" s="14" t="n"/>
      <x:c r="G5" s="14" t="n"/>
      <x:c r="H5" s="15">
        <x:f>IF(AND($F5="",$G5=""),"",MAX($F5-$G5,0))</x:f>
      </x:c>
      <x:c r="I5" s="13" t="n"/>
      <x:c r="J5" s="17">
        <x:f>IF($A5="","",IF(OR($I5="",$H5&lt;=0),"",MAX(TODAY()-$I5,0)))</x:f>
      </x:c>
      <x:c r="K5" s="17">
        <x:f>IF($A5="","",IF($H5&lt;=0,"已回清",IF($I5="","",IF($J5=0,"未到期",IF($J5&lt;=30,"1-30天",IF($J5&lt;=60,"31-60天",IF($J5&lt;=90,"61-90天","90天以上")))))))</x:f>
      </x:c>
      <x:c r="L5" s="14" t="n"/>
      <x:c r="M5" s="14" t="n"/>
      <x:c r="N5" s="16">
        <x:f>IF($A5="","",IF($F5="","",IF($F5=0,0,$G5/$F5)))</x:f>
      </x:c>
      <x:c r="O5" s="12" t="n"/>
      <x:c r="P5" s="16">
        <x:f>IF(OR($B5="",$H5=""),"",IFERROR($H5/VLOOKUP($B5,Customers!$A$2:$J$201,10,FALSE),""))</x:f>
      </x:c>
      <x:c r="Q5" s="17">
        <x:f>IF($A5="","",IF($H5&lt;=0,"已回清",IF($J5="","",IF($J5&gt;90,"坏账风险",IF($J5&gt;60,"高风险",IF($J5&gt;30,"中风险",IF($J5&gt;0,"预警","正常")))))))</x:f>
      </x:c>
      <x:c r="R5" s="17">
        <x:f>IF($A5="","",IF($Q5="","",IF($Q5="坏账风险","法务介入 / 准备诉讼",IF($Q5="高风险","上门沟通 / 部门经理介入",IF($Q5="中风险","电话催收 / 周度跟进",IF($Q5="预警","提醒客户按期回款","持续跟踪"))))))</x:f>
      </x:c>
      <x:c r="S5" s="13" t="n"/>
      <x:c r="T5" s="12" t="n"/>
      <x:c r="U5" s="17">
        <x:f>IF($A5="","",IF($H5&lt;=0,0,IF($J5="",0,$J5*100000000+$H5*100+ROW()/1000)))</x:f>
      </x:c>
    </x:row>
    <x:row r="6">
      <x:c r="A6" s="12" t="n"/>
      <x:c r="B6" s="12" t="n"/>
      <x:c r="C6" s="12" t="n"/>
      <x:c r="D6" s="12" t="n"/>
      <x:c r="E6" s="12" t="n"/>
      <x:c r="F6" s="14" t="n"/>
      <x:c r="G6" s="14" t="n"/>
      <x:c r="H6" s="15">
        <x:f>IF(AND($F6="",$G6=""),"",MAX($F6-$G6,0))</x:f>
      </x:c>
      <x:c r="I6" s="13" t="n"/>
      <x:c r="J6" s="17">
        <x:f>IF($A6="","",IF(OR($I6="",$H6&lt;=0),"",MAX(TODAY()-$I6,0)))</x:f>
      </x:c>
      <x:c r="K6" s="17">
        <x:f>IF($A6="","",IF($H6&lt;=0,"已回清",IF($I6="","",IF($J6=0,"未到期",IF($J6&lt;=30,"1-30天",IF($J6&lt;=60,"31-60天",IF($J6&lt;=90,"61-90天","90天以上")))))))</x:f>
      </x:c>
      <x:c r="L6" s="14" t="n"/>
      <x:c r="M6" s="14" t="n"/>
      <x:c r="N6" s="16">
        <x:f>IF($A6="","",IF($F6="","",IF($F6=0,0,$G6/$F6)))</x:f>
      </x:c>
      <x:c r="O6" s="12" t="n"/>
      <x:c r="P6" s="16">
        <x:f>IF(OR($B6="",$H6=""),"",IFERROR($H6/VLOOKUP($B6,Customers!$A$2:$J$201,10,FALSE),""))</x:f>
      </x:c>
      <x:c r="Q6" s="17">
        <x:f>IF($A6="","",IF($H6&lt;=0,"已回清",IF($J6="","",IF($J6&gt;90,"坏账风险",IF($J6&gt;60,"高风险",IF($J6&gt;30,"中风险",IF($J6&gt;0,"预警","正常")))))))</x:f>
      </x:c>
      <x:c r="R6" s="17">
        <x:f>IF($A6="","",IF($Q6="","",IF($Q6="坏账风险","法务介入 / 准备诉讼",IF($Q6="高风险","上门沟通 / 部门经理介入",IF($Q6="中风险","电话催收 / 周度跟进",IF($Q6="预警","提醒客户按期回款","持续跟踪"))))))</x:f>
      </x:c>
      <x:c r="S6" s="13" t="n"/>
      <x:c r="T6" s="12" t="n"/>
      <x:c r="U6" s="17">
        <x:f>IF($A6="","",IF($H6&lt;=0,0,IF($J6="",0,$J6*100000000+$H6*100+ROW()/1000)))</x:f>
      </x:c>
    </x:row>
    <x:row r="7">
      <x:c r="A7" s="12" t="n"/>
      <x:c r="B7" s="12" t="n"/>
      <x:c r="C7" s="12" t="n"/>
      <x:c r="D7" s="12" t="n"/>
      <x:c r="E7" s="12" t="n"/>
      <x:c r="F7" s="14" t="n"/>
      <x:c r="G7" s="14" t="n"/>
      <x:c r="H7" s="15">
        <x:f>IF(AND($F7="",$G7=""),"",MAX($F7-$G7,0))</x:f>
      </x:c>
      <x:c r="I7" s="13" t="n"/>
      <x:c r="J7" s="17">
        <x:f>IF($A7="","",IF(OR($I7="",$H7&lt;=0),"",MAX(TODAY()-$I7,0)))</x:f>
      </x:c>
      <x:c r="K7" s="17">
        <x:f>IF($A7="","",IF($H7&lt;=0,"已回清",IF($I7="","",IF($J7=0,"未到期",IF($J7&lt;=30,"1-30天",IF($J7&lt;=60,"31-60天",IF($J7&lt;=90,"61-90天","90天以上")))))))</x:f>
      </x:c>
      <x:c r="L7" s="14" t="n"/>
      <x:c r="M7" s="14" t="n"/>
      <x:c r="N7" s="16">
        <x:f>IF($A7="","",IF($F7="","",IF($F7=0,0,$G7/$F7)))</x:f>
      </x:c>
      <x:c r="O7" s="12" t="n"/>
      <x:c r="P7" s="16">
        <x:f>IF(OR($B7="",$H7=""),"",IFERROR($H7/VLOOKUP($B7,Customers!$A$2:$J$201,10,FALSE),""))</x:f>
      </x:c>
      <x:c r="Q7" s="17">
        <x:f>IF($A7="","",IF($H7&lt;=0,"已回清",IF($J7="","",IF($J7&gt;90,"坏账风险",IF($J7&gt;60,"高风险",IF($J7&gt;30,"中风险",IF($J7&gt;0,"预警","正常")))))))</x:f>
      </x:c>
      <x:c r="R7" s="17">
        <x:f>IF($A7="","",IF($Q7="","",IF($Q7="坏账风险","法务介入 / 准备诉讼",IF($Q7="高风险","上门沟通 / 部门经理介入",IF($Q7="中风险","电话催收 / 周度跟进",IF($Q7="预警","提醒客户按期回款","持续跟踪"))))))</x:f>
      </x:c>
      <x:c r="S7" s="13" t="n"/>
      <x:c r="T7" s="12" t="n"/>
      <x:c r="U7" s="17">
        <x:f>IF($A7="","",IF($H7&lt;=0,0,IF($J7="",0,$J7*100000000+$H7*100+ROW()/1000)))</x:f>
      </x:c>
    </x:row>
    <x:row r="8">
      <x:c r="A8" s="12" t="n"/>
      <x:c r="B8" s="12" t="n"/>
      <x:c r="C8" s="12" t="n"/>
      <x:c r="D8" s="12" t="n"/>
      <x:c r="E8" s="12" t="n"/>
      <x:c r="F8" s="14" t="n"/>
      <x:c r="G8" s="14" t="n"/>
      <x:c r="H8" s="15">
        <x:f>IF(AND($F8="",$G8=""),"",MAX($F8-$G8,0))</x:f>
      </x:c>
      <x:c r="I8" s="13" t="n"/>
      <x:c r="J8" s="17">
        <x:f>IF($A8="","",IF(OR($I8="",$H8&lt;=0),"",MAX(TODAY()-$I8,0)))</x:f>
      </x:c>
      <x:c r="K8" s="17">
        <x:f>IF($A8="","",IF($H8&lt;=0,"已回清",IF($I8="","",IF($J8=0,"未到期",IF($J8&lt;=30,"1-30天",IF($J8&lt;=60,"31-60天",IF($J8&lt;=90,"61-90天","90天以上")))))))</x:f>
      </x:c>
      <x:c r="L8" s="14" t="n"/>
      <x:c r="M8" s="14" t="n"/>
      <x:c r="N8" s="16">
        <x:f>IF($A8="","",IF($F8="","",IF($F8=0,0,$G8/$F8)))</x:f>
      </x:c>
      <x:c r="O8" s="12" t="n"/>
      <x:c r="P8" s="16">
        <x:f>IF(OR($B8="",$H8=""),"",IFERROR($H8/VLOOKUP($B8,Customers!$A$2:$J$201,10,FALSE),""))</x:f>
      </x:c>
      <x:c r="Q8" s="17">
        <x:f>IF($A8="","",IF($H8&lt;=0,"已回清",IF($J8="","",IF($J8&gt;90,"坏账风险",IF($J8&gt;60,"高风险",IF($J8&gt;30,"中风险",IF($J8&gt;0,"预警","正常")))))))</x:f>
      </x:c>
      <x:c r="R8" s="17">
        <x:f>IF($A8="","",IF($Q8="","",IF($Q8="坏账风险","法务介入 / 准备诉讼",IF($Q8="高风险","上门沟通 / 部门经理介入",IF($Q8="中风险","电话催收 / 周度跟进",IF($Q8="预警","提醒客户按期回款","持续跟踪"))))))</x:f>
      </x:c>
      <x:c r="S8" s="13" t="n"/>
      <x:c r="T8" s="12" t="n"/>
      <x:c r="U8" s="17">
        <x:f>IF($A8="","",IF($H8&lt;=0,0,IF($J8="",0,$J8*100000000+$H8*100+ROW()/1000)))</x:f>
      </x:c>
    </x:row>
    <x:row r="9">
      <x:c r="A9" s="12" t="n"/>
      <x:c r="B9" s="12" t="n"/>
      <x:c r="C9" s="12" t="n"/>
      <x:c r="D9" s="12" t="n"/>
      <x:c r="E9" s="12" t="n"/>
      <x:c r="F9" s="14" t="n"/>
      <x:c r="G9" s="14" t="n"/>
      <x:c r="H9" s="15">
        <x:f>IF(AND($F9="",$G9=""),"",MAX($F9-$G9,0))</x:f>
      </x:c>
      <x:c r="I9" s="13" t="n"/>
      <x:c r="J9" s="17">
        <x:f>IF($A9="","",IF(OR($I9="",$H9&lt;=0),"",MAX(TODAY()-$I9,0)))</x:f>
      </x:c>
      <x:c r="K9" s="17">
        <x:f>IF($A9="","",IF($H9&lt;=0,"已回清",IF($I9="","",IF($J9=0,"未到期",IF($J9&lt;=30,"1-30天",IF($J9&lt;=60,"31-60天",IF($J9&lt;=90,"61-90天","90天以上")))))))</x:f>
      </x:c>
      <x:c r="L9" s="14" t="n"/>
      <x:c r="M9" s="14" t="n"/>
      <x:c r="N9" s="16">
        <x:f>IF($A9="","",IF($F9="","",IF($F9=0,0,$G9/$F9)))</x:f>
      </x:c>
      <x:c r="O9" s="12" t="n"/>
      <x:c r="P9" s="16">
        <x:f>IF(OR($B9="",$H9=""),"",IFERROR($H9/VLOOKUP($B9,Customers!$A$2:$J$201,10,FALSE),""))</x:f>
      </x:c>
      <x:c r="Q9" s="17">
        <x:f>IF($A9="","",IF($H9&lt;=0,"已回清",IF($J9="","",IF($J9&gt;90,"坏账风险",IF($J9&gt;60,"高风险",IF($J9&gt;30,"中风险",IF($J9&gt;0,"预警","正常")))))))</x:f>
      </x:c>
      <x:c r="R9" s="17">
        <x:f>IF($A9="","",IF($Q9="","",IF($Q9="坏账风险","法务介入 / 准备诉讼",IF($Q9="高风险","上门沟通 / 部门经理介入",IF($Q9="中风险","电话催收 / 周度跟进",IF($Q9="预警","提醒客户按期回款","持续跟踪"))))))</x:f>
      </x:c>
      <x:c r="S9" s="13" t="n"/>
      <x:c r="T9" s="12" t="n"/>
      <x:c r="U9" s="17">
        <x:f>IF($A9="","",IF($H9&lt;=0,0,IF($J9="",0,$J9*100000000+$H9*100+ROW()/1000)))</x:f>
      </x:c>
    </x:row>
    <x:row r="10">
      <x:c r="A10" s="12" t="n"/>
      <x:c r="B10" s="12" t="n"/>
      <x:c r="C10" s="12" t="n"/>
      <x:c r="D10" s="12" t="n"/>
      <x:c r="E10" s="12" t="n"/>
      <x:c r="F10" s="14" t="n"/>
      <x:c r="G10" s="14" t="n"/>
      <x:c r="H10" s="15">
        <x:f>IF(AND($F10="",$G10=""),"",MAX($F10-$G10,0))</x:f>
      </x:c>
      <x:c r="I10" s="13" t="n"/>
      <x:c r="J10" s="17">
        <x:f>IF($A10="","",IF(OR($I10="",$H10&lt;=0),"",MAX(TODAY()-$I10,0)))</x:f>
      </x:c>
      <x:c r="K10" s="17">
        <x:f>IF($A10="","",IF($H10&lt;=0,"已回清",IF($I10="","",IF($J10=0,"未到期",IF($J10&lt;=30,"1-30天",IF($J10&lt;=60,"31-60天",IF($J10&lt;=90,"61-90天","90天以上")))))))</x:f>
      </x:c>
      <x:c r="L10" s="14" t="n"/>
      <x:c r="M10" s="14" t="n"/>
      <x:c r="N10" s="16">
        <x:f>IF($A10="","",IF($F10="","",IF($F10=0,0,$G10/$F10)))</x:f>
      </x:c>
      <x:c r="O10" s="12" t="n"/>
      <x:c r="P10" s="16">
        <x:f>IF(OR($B10="",$H10=""),"",IFERROR($H10/VLOOKUP($B10,Customers!$A$2:$J$201,10,FALSE),""))</x:f>
      </x:c>
      <x:c r="Q10" s="17">
        <x:f>IF($A10="","",IF($H10&lt;=0,"已回清",IF($J10="","",IF($J10&gt;90,"坏账风险",IF($J10&gt;60,"高风险",IF($J10&gt;30,"中风险",IF($J10&gt;0,"预警","正常")))))))</x:f>
      </x:c>
      <x:c r="R10" s="17">
        <x:f>IF($A10="","",IF($Q10="","",IF($Q10="坏账风险","法务介入 / 准备诉讼",IF($Q10="高风险","上门沟通 / 部门经理介入",IF($Q10="中风险","电话催收 / 周度跟进",IF($Q10="预警","提醒客户按期回款","持续跟踪"))))))</x:f>
      </x:c>
      <x:c r="S10" s="13" t="n"/>
      <x:c r="T10" s="12" t="n"/>
      <x:c r="U10" s="17">
        <x:f>IF($A10="","",IF($H10&lt;=0,0,IF($J10="",0,$J10*100000000+$H10*100+ROW()/1000)))</x:f>
      </x:c>
    </x:row>
    <x:row r="11">
      <x:c r="A11" s="12" t="n"/>
      <x:c r="B11" s="12" t="n"/>
      <x:c r="C11" s="12" t="n"/>
      <x:c r="D11" s="12" t="n"/>
      <x:c r="E11" s="12" t="n"/>
      <x:c r="F11" s="14" t="n"/>
      <x:c r="G11" s="14" t="n"/>
      <x:c r="H11" s="15">
        <x:f>IF(AND($F11="",$G11=""),"",MAX($F11-$G11,0))</x:f>
      </x:c>
      <x:c r="I11" s="13" t="n"/>
      <x:c r="J11" s="17">
        <x:f>IF($A11="","",IF(OR($I11="",$H11&lt;=0),"",MAX(TODAY()-$I11,0)))</x:f>
      </x:c>
      <x:c r="K11" s="17">
        <x:f>IF($A11="","",IF($H11&lt;=0,"已回清",IF($I11="","",IF($J11=0,"未到期",IF($J11&lt;=30,"1-30天",IF($J11&lt;=60,"31-60天",IF($J11&lt;=90,"61-90天","90天以上")))))))</x:f>
      </x:c>
      <x:c r="L11" s="14" t="n"/>
      <x:c r="M11" s="14" t="n"/>
      <x:c r="N11" s="16">
        <x:f>IF($A11="","",IF($F11="","",IF($F11=0,0,$G11/$F11)))</x:f>
      </x:c>
      <x:c r="O11" s="12" t="n"/>
      <x:c r="P11" s="16">
        <x:f>IF(OR($B11="",$H11=""),"",IFERROR($H11/VLOOKUP($B11,Customers!$A$2:$J$201,10,FALSE),""))</x:f>
      </x:c>
      <x:c r="Q11" s="17">
        <x:f>IF($A11="","",IF($H11&lt;=0,"已回清",IF($J11="","",IF($J11&gt;90,"坏账风险",IF($J11&gt;60,"高风险",IF($J11&gt;30,"中风险",IF($J11&gt;0,"预警","正常")))))))</x:f>
      </x:c>
      <x:c r="R11" s="17">
        <x:f>IF($A11="","",IF($Q11="","",IF($Q11="坏账风险","法务介入 / 准备诉讼",IF($Q11="高风险","上门沟通 / 部门经理介入",IF($Q11="中风险","电话催收 / 周度跟进",IF($Q11="预警","提醒客户按期回款","持续跟踪"))))))</x:f>
      </x:c>
      <x:c r="S11" s="13" t="n"/>
      <x:c r="T11" s="12" t="n"/>
      <x:c r="U11" s="17">
        <x:f>IF($A11="","",IF($H11&lt;=0,0,IF($J11="",0,$J11*100000000+$H11*100+ROW()/1000)))</x:f>
      </x:c>
    </x:row>
    <x:row r="12">
      <x:c r="A12" s="12" t="n"/>
      <x:c r="B12" s="12" t="n"/>
      <x:c r="C12" s="12" t="n"/>
      <x:c r="D12" s="12" t="n"/>
      <x:c r="E12" s="12" t="n"/>
      <x:c r="F12" s="14" t="n"/>
      <x:c r="G12" s="14" t="n"/>
      <x:c r="H12" s="15">
        <x:f>IF(AND($F12="",$G12=""),"",MAX($F12-$G12,0))</x:f>
      </x:c>
      <x:c r="I12" s="13" t="n"/>
      <x:c r="J12" s="17">
        <x:f>IF($A12="","",IF(OR($I12="",$H12&lt;=0),"",MAX(TODAY()-$I12,0)))</x:f>
      </x:c>
      <x:c r="K12" s="17">
        <x:f>IF($A12="","",IF($H12&lt;=0,"已回清",IF($I12="","",IF($J12=0,"未到期",IF($J12&lt;=30,"1-30天",IF($J12&lt;=60,"31-60天",IF($J12&lt;=90,"61-90天","90天以上")))))))</x:f>
      </x:c>
      <x:c r="L12" s="14" t="n"/>
      <x:c r="M12" s="14" t="n"/>
      <x:c r="N12" s="16">
        <x:f>IF($A12="","",IF($F12="","",IF($F12=0,0,$G12/$F12)))</x:f>
      </x:c>
      <x:c r="O12" s="12" t="n"/>
      <x:c r="P12" s="16">
        <x:f>IF(OR($B12="",$H12=""),"",IFERROR($H12/VLOOKUP($B12,Customers!$A$2:$J$201,10,FALSE),""))</x:f>
      </x:c>
      <x:c r="Q12" s="17">
        <x:f>IF($A12="","",IF($H12&lt;=0,"已回清",IF($J12="","",IF($J12&gt;90,"坏账风险",IF($J12&gt;60,"高风险",IF($J12&gt;30,"中风险",IF($J12&gt;0,"预警","正常")))))))</x:f>
      </x:c>
      <x:c r="R12" s="17">
        <x:f>IF($A12="","",IF($Q12="","",IF($Q12="坏账风险","法务介入 / 准备诉讼",IF($Q12="高风险","上门沟通 / 部门经理介入",IF($Q12="中风险","电话催收 / 周度跟进",IF($Q12="预警","提醒客户按期回款","持续跟踪"))))))</x:f>
      </x:c>
      <x:c r="S12" s="13" t="n"/>
      <x:c r="T12" s="12" t="n"/>
      <x:c r="U12" s="17">
        <x:f>IF($A12="","",IF($H12&lt;=0,0,IF($J12="",0,$J12*100000000+$H12*100+ROW()/1000)))</x:f>
      </x:c>
    </x:row>
    <x:row r="13">
      <x:c r="A13" s="12" t="n"/>
      <x:c r="B13" s="12" t="n"/>
      <x:c r="C13" s="12" t="n"/>
      <x:c r="D13" s="12" t="n"/>
      <x:c r="E13" s="12" t="n"/>
      <x:c r="F13" s="14" t="n"/>
      <x:c r="G13" s="14" t="n"/>
      <x:c r="H13" s="15">
        <x:f>IF(AND($F13="",$G13=""),"",MAX($F13-$G13,0))</x:f>
      </x:c>
      <x:c r="I13" s="13" t="n"/>
      <x:c r="J13" s="17">
        <x:f>IF($A13="","",IF(OR($I13="",$H13&lt;=0),"",MAX(TODAY()-$I13,0)))</x:f>
      </x:c>
      <x:c r="K13" s="17">
        <x:f>IF($A13="","",IF($H13&lt;=0,"已回清",IF($I13="","",IF($J13=0,"未到期",IF($J13&lt;=30,"1-30天",IF($J13&lt;=60,"31-60天",IF($J13&lt;=90,"61-90天","90天以上")))))))</x:f>
      </x:c>
      <x:c r="L13" s="14" t="n"/>
      <x:c r="M13" s="14" t="n"/>
      <x:c r="N13" s="16">
        <x:f>IF($A13="","",IF($F13="","",IF($F13=0,0,$G13/$F13)))</x:f>
      </x:c>
      <x:c r="O13" s="12" t="n"/>
      <x:c r="P13" s="16">
        <x:f>IF(OR($B13="",$H13=""),"",IFERROR($H13/VLOOKUP($B13,Customers!$A$2:$J$201,10,FALSE),""))</x:f>
      </x:c>
      <x:c r="Q13" s="17">
        <x:f>IF($A13="","",IF($H13&lt;=0,"已回清",IF($J13="","",IF($J13&gt;90,"坏账风险",IF($J13&gt;60,"高风险",IF($J13&gt;30,"中风险",IF($J13&gt;0,"预警","正常")))))))</x:f>
      </x:c>
      <x:c r="R13" s="17">
        <x:f>IF($A13="","",IF($Q13="","",IF($Q13="坏账风险","法务介入 / 准备诉讼",IF($Q13="高风险","上门沟通 / 部门经理介入",IF($Q13="中风险","电话催收 / 周度跟进",IF($Q13="预警","提醒客户按期回款","持续跟踪"))))))</x:f>
      </x:c>
      <x:c r="S13" s="13" t="n"/>
      <x:c r="T13" s="12" t="n"/>
      <x:c r="U13" s="17">
        <x:f>IF($A13="","",IF($H13&lt;=0,0,IF($J13="",0,$J13*100000000+$H13*100+ROW()/1000)))</x:f>
      </x:c>
    </x:row>
    <x:row r="14">
      <x:c r="A14" s="12" t="n"/>
      <x:c r="B14" s="12" t="n"/>
      <x:c r="C14" s="12" t="n"/>
      <x:c r="D14" s="12" t="n"/>
      <x:c r="E14" s="12" t="n"/>
      <x:c r="F14" s="14" t="n"/>
      <x:c r="G14" s="14" t="n"/>
      <x:c r="H14" s="15">
        <x:f>IF(AND($F14="",$G14=""),"",MAX($F14-$G14,0))</x:f>
      </x:c>
      <x:c r="I14" s="13" t="n"/>
      <x:c r="J14" s="17">
        <x:f>IF($A14="","",IF(OR($I14="",$H14&lt;=0),"",MAX(TODAY()-$I14,0)))</x:f>
      </x:c>
      <x:c r="K14" s="17">
        <x:f>IF($A14="","",IF($H14&lt;=0,"已回清",IF($I14="","",IF($J14=0,"未到期",IF($J14&lt;=30,"1-30天",IF($J14&lt;=60,"31-60天",IF($J14&lt;=90,"61-90天","90天以上")))))))</x:f>
      </x:c>
      <x:c r="L14" s="14" t="n"/>
      <x:c r="M14" s="14" t="n"/>
      <x:c r="N14" s="16">
        <x:f>IF($A14="","",IF($F14="","",IF($F14=0,0,$G14/$F14)))</x:f>
      </x:c>
      <x:c r="O14" s="12" t="n"/>
      <x:c r="P14" s="16">
        <x:f>IF(OR($B14="",$H14=""),"",IFERROR($H14/VLOOKUP($B14,Customers!$A$2:$J$201,10,FALSE),""))</x:f>
      </x:c>
      <x:c r="Q14" s="17">
        <x:f>IF($A14="","",IF($H14&lt;=0,"已回清",IF($J14="","",IF($J14&gt;90,"坏账风险",IF($J14&gt;60,"高风险",IF($J14&gt;30,"中风险",IF($J14&gt;0,"预警","正常")))))))</x:f>
      </x:c>
      <x:c r="R14" s="17">
        <x:f>IF($A14="","",IF($Q14="","",IF($Q14="坏账风险","法务介入 / 准备诉讼",IF($Q14="高风险","上门沟通 / 部门经理介入",IF($Q14="中风险","电话催收 / 周度跟进",IF($Q14="预警","提醒客户按期回款","持续跟踪"))))))</x:f>
      </x:c>
      <x:c r="S14" s="13" t="n"/>
      <x:c r="T14" s="12" t="n"/>
      <x:c r="U14" s="17">
        <x:f>IF($A14="","",IF($H14&lt;=0,0,IF($J14="",0,$J14*100000000+$H14*100+ROW()/1000)))</x:f>
      </x:c>
    </x:row>
    <x:row r="15">
      <x:c r="A15" s="12" t="n"/>
      <x:c r="B15" s="12" t="n"/>
      <x:c r="C15" s="12" t="n"/>
      <x:c r="D15" s="12" t="n"/>
      <x:c r="E15" s="12" t="n"/>
      <x:c r="F15" s="14" t="n"/>
      <x:c r="G15" s="14" t="n"/>
      <x:c r="H15" s="15">
        <x:f>IF(AND($F15="",$G15=""),"",MAX($F15-$G15,0))</x:f>
      </x:c>
      <x:c r="I15" s="13" t="n"/>
      <x:c r="J15" s="17">
        <x:f>IF($A15="","",IF(OR($I15="",$H15&lt;=0),"",MAX(TODAY()-$I15,0)))</x:f>
      </x:c>
      <x:c r="K15" s="17">
        <x:f>IF($A15="","",IF($H15&lt;=0,"已回清",IF($I15="","",IF($J15=0,"未到期",IF($J15&lt;=30,"1-30天",IF($J15&lt;=60,"31-60天",IF($J15&lt;=90,"61-90天","90天以上")))))))</x:f>
      </x:c>
      <x:c r="L15" s="14" t="n"/>
      <x:c r="M15" s="14" t="n"/>
      <x:c r="N15" s="16">
        <x:f>IF($A15="","",IF($F15="","",IF($F15=0,0,$G15/$F15)))</x:f>
      </x:c>
      <x:c r="O15" s="12" t="n"/>
      <x:c r="P15" s="16">
        <x:f>IF(OR($B15="",$H15=""),"",IFERROR($H15/VLOOKUP($B15,Customers!$A$2:$J$201,10,FALSE),""))</x:f>
      </x:c>
      <x:c r="Q15" s="17">
        <x:f>IF($A15="","",IF($H15&lt;=0,"已回清",IF($J15="","",IF($J15&gt;90,"坏账风险",IF($J15&gt;60,"高风险",IF($J15&gt;30,"中风险",IF($J15&gt;0,"预警","正常")))))))</x:f>
      </x:c>
      <x:c r="R15" s="17">
        <x:f>IF($A15="","",IF($Q15="","",IF($Q15="坏账风险","法务介入 / 准备诉讼",IF($Q15="高风险","上门沟通 / 部门经理介入",IF($Q15="中风险","电话催收 / 周度跟进",IF($Q15="预警","提醒客户按期回款","持续跟踪"))))))</x:f>
      </x:c>
      <x:c r="S15" s="13" t="n"/>
      <x:c r="T15" s="12" t="n"/>
      <x:c r="U15" s="17">
        <x:f>IF($A15="","",IF($H15&lt;=0,0,IF($J15="",0,$J15*100000000+$H15*100+ROW()/1000)))</x:f>
      </x:c>
    </x:row>
    <x:row r="16">
      <x:c r="A16" s="12" t="n"/>
      <x:c r="B16" s="12" t="n"/>
      <x:c r="C16" s="12" t="n"/>
      <x:c r="D16" s="12" t="n"/>
      <x:c r="E16" s="12" t="n"/>
      <x:c r="F16" s="14" t="n"/>
      <x:c r="G16" s="14" t="n"/>
      <x:c r="H16" s="15">
        <x:f>IF(AND($F16="",$G16=""),"",MAX($F16-$G16,0))</x:f>
      </x:c>
      <x:c r="I16" s="13" t="n"/>
      <x:c r="J16" s="17">
        <x:f>IF($A16="","",IF(OR($I16="",$H16&lt;=0),"",MAX(TODAY()-$I16,0)))</x:f>
      </x:c>
      <x:c r="K16" s="17">
        <x:f>IF($A16="","",IF($H16&lt;=0,"已回清",IF($I16="","",IF($J16=0,"未到期",IF($J16&lt;=30,"1-30天",IF($J16&lt;=60,"31-60天",IF($J16&lt;=90,"61-90天","90天以上")))))))</x:f>
      </x:c>
      <x:c r="L16" s="14" t="n"/>
      <x:c r="M16" s="14" t="n"/>
      <x:c r="N16" s="16">
        <x:f>IF($A16="","",IF($F16="","",IF($F16=0,0,$G16/$F16)))</x:f>
      </x:c>
      <x:c r="O16" s="12" t="n"/>
      <x:c r="P16" s="16">
        <x:f>IF(OR($B16="",$H16=""),"",IFERROR($H16/VLOOKUP($B16,Customers!$A$2:$J$201,10,FALSE),""))</x:f>
      </x:c>
      <x:c r="Q16" s="17">
        <x:f>IF($A16="","",IF($H16&lt;=0,"已回清",IF($J16="","",IF($J16&gt;90,"坏账风险",IF($J16&gt;60,"高风险",IF($J16&gt;30,"中风险",IF($J16&gt;0,"预警","正常")))))))</x:f>
      </x:c>
      <x:c r="R16" s="17">
        <x:f>IF($A16="","",IF($Q16="","",IF($Q16="坏账风险","法务介入 / 准备诉讼",IF($Q16="高风险","上门沟通 / 部门经理介入",IF($Q16="中风险","电话催收 / 周度跟进",IF($Q16="预警","提醒客户按期回款","持续跟踪"))))))</x:f>
      </x:c>
      <x:c r="S16" s="13" t="n"/>
      <x:c r="T16" s="12" t="n"/>
      <x:c r="U16" s="17">
        <x:f>IF($A16="","",IF($H16&lt;=0,0,IF($J16="",0,$J16*100000000+$H16*100+ROW()/1000)))</x:f>
      </x:c>
    </x:row>
    <x:row r="17">
      <x:c r="A17" s="12" t="n"/>
      <x:c r="B17" s="12" t="n"/>
      <x:c r="C17" s="12" t="n"/>
      <x:c r="D17" s="12" t="n"/>
      <x:c r="E17" s="12" t="n"/>
      <x:c r="F17" s="14" t="n"/>
      <x:c r="G17" s="14" t="n"/>
      <x:c r="H17" s="15">
        <x:f>IF(AND($F17="",$G17=""),"",MAX($F17-$G17,0))</x:f>
      </x:c>
      <x:c r="I17" s="13" t="n"/>
      <x:c r="J17" s="17">
        <x:f>IF($A17="","",IF(OR($I17="",$H17&lt;=0),"",MAX(TODAY()-$I17,0)))</x:f>
      </x:c>
      <x:c r="K17" s="17">
        <x:f>IF($A17="","",IF($H17&lt;=0,"已回清",IF($I17="","",IF($J17=0,"未到期",IF($J17&lt;=30,"1-30天",IF($J17&lt;=60,"31-60天",IF($J17&lt;=90,"61-90天","90天以上")))))))</x:f>
      </x:c>
      <x:c r="L17" s="14" t="n"/>
      <x:c r="M17" s="14" t="n"/>
      <x:c r="N17" s="16">
        <x:f>IF($A17="","",IF($F17="","",IF($F17=0,0,$G17/$F17)))</x:f>
      </x:c>
      <x:c r="O17" s="12" t="n"/>
      <x:c r="P17" s="16">
        <x:f>IF(OR($B17="",$H17=""),"",IFERROR($H17/VLOOKUP($B17,Customers!$A$2:$J$201,10,FALSE),""))</x:f>
      </x:c>
      <x:c r="Q17" s="17">
        <x:f>IF($A17="","",IF($H17&lt;=0,"已回清",IF($J17="","",IF($J17&gt;90,"坏账风险",IF($J17&gt;60,"高风险",IF($J17&gt;30,"中风险",IF($J17&gt;0,"预警","正常")))))))</x:f>
      </x:c>
      <x:c r="R17" s="17">
        <x:f>IF($A17="","",IF($Q17="","",IF($Q17="坏账风险","法务介入 / 准备诉讼",IF($Q17="高风险","上门沟通 / 部门经理介入",IF($Q17="中风险","电话催收 / 周度跟进",IF($Q17="预警","提醒客户按期回款","持续跟踪"))))))</x:f>
      </x:c>
      <x:c r="S17" s="13" t="n"/>
      <x:c r="T17" s="12" t="n"/>
      <x:c r="U17" s="17">
        <x:f>IF($A17="","",IF($H17&lt;=0,0,IF($J17="",0,$J17*100000000+$H17*100+ROW()/1000)))</x:f>
      </x:c>
    </x:row>
    <x:row r="18">
      <x:c r="A18" s="12" t="n"/>
      <x:c r="B18" s="12" t="n"/>
      <x:c r="C18" s="12" t="n"/>
      <x:c r="D18" s="12" t="n"/>
      <x:c r="E18" s="12" t="n"/>
      <x:c r="F18" s="14" t="n"/>
      <x:c r="G18" s="14" t="n"/>
      <x:c r="H18" s="15">
        <x:f>IF(AND($F18="",$G18=""),"",MAX($F18-$G18,0))</x:f>
      </x:c>
      <x:c r="I18" s="13" t="n"/>
      <x:c r="J18" s="17">
        <x:f>IF($A18="","",IF(OR($I18="",$H18&lt;=0),"",MAX(TODAY()-$I18,0)))</x:f>
      </x:c>
      <x:c r="K18" s="17">
        <x:f>IF($A18="","",IF($H18&lt;=0,"已回清",IF($I18="","",IF($J18=0,"未到期",IF($J18&lt;=30,"1-30天",IF($J18&lt;=60,"31-60天",IF($J18&lt;=90,"61-90天","90天以上")))))))</x:f>
      </x:c>
      <x:c r="L18" s="14" t="n"/>
      <x:c r="M18" s="14" t="n"/>
      <x:c r="N18" s="16">
        <x:f>IF($A18="","",IF($F18="","",IF($F18=0,0,$G18/$F18)))</x:f>
      </x:c>
      <x:c r="O18" s="12" t="n"/>
      <x:c r="P18" s="16">
        <x:f>IF(OR($B18="",$H18=""),"",IFERROR($H18/VLOOKUP($B18,Customers!$A$2:$J$201,10,FALSE),""))</x:f>
      </x:c>
      <x:c r="Q18" s="17">
        <x:f>IF($A18="","",IF($H18&lt;=0,"已回清",IF($J18="","",IF($J18&gt;90,"坏账风险",IF($J18&gt;60,"高风险",IF($J18&gt;30,"中风险",IF($J18&gt;0,"预警","正常")))))))</x:f>
      </x:c>
      <x:c r="R18" s="17">
        <x:f>IF($A18="","",IF($Q18="","",IF($Q18="坏账风险","法务介入 / 准备诉讼",IF($Q18="高风险","上门沟通 / 部门经理介入",IF($Q18="中风险","电话催收 / 周度跟进",IF($Q18="预警","提醒客户按期回款","持续跟踪"))))))</x:f>
      </x:c>
      <x:c r="S18" s="13" t="n"/>
      <x:c r="T18" s="12" t="n"/>
      <x:c r="U18" s="17">
        <x:f>IF($A18="","",IF($H18&lt;=0,0,IF($J18="",0,$J18*100000000+$H18*100+ROW()/1000)))</x:f>
      </x:c>
    </x:row>
    <x:row r="19">
      <x:c r="A19" s="12" t="n"/>
      <x:c r="B19" s="12" t="n"/>
      <x:c r="C19" s="12" t="n"/>
      <x:c r="D19" s="12" t="n"/>
      <x:c r="E19" s="12" t="n"/>
      <x:c r="F19" s="14" t="n"/>
      <x:c r="G19" s="14" t="n"/>
      <x:c r="H19" s="15">
        <x:f>IF(AND($F19="",$G19=""),"",MAX($F19-$G19,0))</x:f>
      </x:c>
      <x:c r="I19" s="13" t="n"/>
      <x:c r="J19" s="17">
        <x:f>IF($A19="","",IF(OR($I19="",$H19&lt;=0),"",MAX(TODAY()-$I19,0)))</x:f>
      </x:c>
      <x:c r="K19" s="17">
        <x:f>IF($A19="","",IF($H19&lt;=0,"已回清",IF($I19="","",IF($J19=0,"未到期",IF($J19&lt;=30,"1-30天",IF($J19&lt;=60,"31-60天",IF($J19&lt;=90,"61-90天","90天以上")))))))</x:f>
      </x:c>
      <x:c r="L19" s="14" t="n"/>
      <x:c r="M19" s="14" t="n"/>
      <x:c r="N19" s="16">
        <x:f>IF($A19="","",IF($F19="","",IF($F19=0,0,$G19/$F19)))</x:f>
      </x:c>
      <x:c r="O19" s="12" t="n"/>
      <x:c r="P19" s="16">
        <x:f>IF(OR($B19="",$H19=""),"",IFERROR($H19/VLOOKUP($B19,Customers!$A$2:$J$201,10,FALSE),""))</x:f>
      </x:c>
      <x:c r="Q19" s="17">
        <x:f>IF($A19="","",IF($H19&lt;=0,"已回清",IF($J19="","",IF($J19&gt;90,"坏账风险",IF($J19&gt;60,"高风险",IF($J19&gt;30,"中风险",IF($J19&gt;0,"预警","正常")))))))</x:f>
      </x:c>
      <x:c r="R19" s="17">
        <x:f>IF($A19="","",IF($Q19="","",IF($Q19="坏账风险","法务介入 / 准备诉讼",IF($Q19="高风险","上门沟通 / 部门经理介入",IF($Q19="中风险","电话催收 / 周度跟进",IF($Q19="预警","提醒客户按期回款","持续跟踪"))))))</x:f>
      </x:c>
      <x:c r="S19" s="13" t="n"/>
      <x:c r="T19" s="12" t="n"/>
      <x:c r="U19" s="17">
        <x:f>IF($A19="","",IF($H19&lt;=0,0,IF($J19="",0,$J19*100000000+$H19*100+ROW()/1000)))</x:f>
      </x:c>
    </x:row>
    <x:row r="20">
      <x:c r="A20" s="12" t="n"/>
      <x:c r="B20" s="12" t="n"/>
      <x:c r="C20" s="12" t="n"/>
      <x:c r="D20" s="12" t="n"/>
      <x:c r="E20" s="12" t="n"/>
      <x:c r="F20" s="14" t="n"/>
      <x:c r="G20" s="14" t="n"/>
      <x:c r="H20" s="15">
        <x:f>IF(AND($F20="",$G20=""),"",MAX($F20-$G20,0))</x:f>
      </x:c>
      <x:c r="I20" s="13" t="n"/>
      <x:c r="J20" s="17">
        <x:f>IF($A20="","",IF(OR($I20="",$H20&lt;=0),"",MAX(TODAY()-$I20,0)))</x:f>
      </x:c>
      <x:c r="K20" s="17">
        <x:f>IF($A20="","",IF($H20&lt;=0,"已回清",IF($I20="","",IF($J20=0,"未到期",IF($J20&lt;=30,"1-30天",IF($J20&lt;=60,"31-60天",IF($J20&lt;=90,"61-90天","90天以上")))))))</x:f>
      </x:c>
      <x:c r="L20" s="14" t="n"/>
      <x:c r="M20" s="14" t="n"/>
      <x:c r="N20" s="16">
        <x:f>IF($A20="","",IF($F20="","",IF($F20=0,0,$G20/$F20)))</x:f>
      </x:c>
      <x:c r="O20" s="12" t="n"/>
      <x:c r="P20" s="16">
        <x:f>IF(OR($B20="",$H20=""),"",IFERROR($H20/VLOOKUP($B20,Customers!$A$2:$J$201,10,FALSE),""))</x:f>
      </x:c>
      <x:c r="Q20" s="17">
        <x:f>IF($A20="","",IF($H20&lt;=0,"已回清",IF($J20="","",IF($J20&gt;90,"坏账风险",IF($J20&gt;60,"高风险",IF($J20&gt;30,"中风险",IF($J20&gt;0,"预警","正常")))))))</x:f>
      </x:c>
      <x:c r="R20" s="17">
        <x:f>IF($A20="","",IF($Q20="","",IF($Q20="坏账风险","法务介入 / 准备诉讼",IF($Q20="高风险","上门沟通 / 部门经理介入",IF($Q20="中风险","电话催收 / 周度跟进",IF($Q20="预警","提醒客户按期回款","持续跟踪"))))))</x:f>
      </x:c>
      <x:c r="S20" s="13" t="n"/>
      <x:c r="T20" s="12" t="n"/>
      <x:c r="U20" s="17">
        <x:f>IF($A20="","",IF($H20&lt;=0,0,IF($J20="",0,$J20*100000000+$H20*100+ROW()/1000)))</x:f>
      </x:c>
    </x:row>
    <x:row r="21">
      <x:c r="A21" s="12" t="n"/>
      <x:c r="B21" s="12" t="n"/>
      <x:c r="C21" s="12" t="n"/>
      <x:c r="D21" s="12" t="n"/>
      <x:c r="E21" s="12" t="n"/>
      <x:c r="F21" s="14" t="n"/>
      <x:c r="G21" s="14" t="n"/>
      <x:c r="H21" s="15">
        <x:f>IF(AND($F21="",$G21=""),"",MAX($F21-$G21,0))</x:f>
      </x:c>
      <x:c r="I21" s="13" t="n"/>
      <x:c r="J21" s="17">
        <x:f>IF($A21="","",IF(OR($I21="",$H21&lt;=0),"",MAX(TODAY()-$I21,0)))</x:f>
      </x:c>
      <x:c r="K21" s="17">
        <x:f>IF($A21="","",IF($H21&lt;=0,"已回清",IF($I21="","",IF($J21=0,"未到期",IF($J21&lt;=30,"1-30天",IF($J21&lt;=60,"31-60天",IF($J21&lt;=90,"61-90天","90天以上")))))))</x:f>
      </x:c>
      <x:c r="L21" s="14" t="n"/>
      <x:c r="M21" s="14" t="n"/>
      <x:c r="N21" s="16">
        <x:f>IF($A21="","",IF($F21="","",IF($F21=0,0,$G21/$F21)))</x:f>
      </x:c>
      <x:c r="O21" s="12" t="n"/>
      <x:c r="P21" s="16">
        <x:f>IF(OR($B21="",$H21=""),"",IFERROR($H21/VLOOKUP($B21,Customers!$A$2:$J$201,10,FALSE),""))</x:f>
      </x:c>
      <x:c r="Q21" s="17">
        <x:f>IF($A21="","",IF($H21&lt;=0,"已回清",IF($J21="","",IF($J21&gt;90,"坏账风险",IF($J21&gt;60,"高风险",IF($J21&gt;30,"中风险",IF($J21&gt;0,"预警","正常")))))))</x:f>
      </x:c>
      <x:c r="R21" s="17">
        <x:f>IF($A21="","",IF($Q21="","",IF($Q21="坏账风险","法务介入 / 准备诉讼",IF($Q21="高风险","上门沟通 / 部门经理介入",IF($Q21="中风险","电话催收 / 周度跟进",IF($Q21="预警","提醒客户按期回款","持续跟踪"))))))</x:f>
      </x:c>
      <x:c r="S21" s="13" t="n"/>
      <x:c r="T21" s="12" t="n"/>
      <x:c r="U21" s="17">
        <x:f>IF($A21="","",IF($H21&lt;=0,0,IF($J21="",0,$J21*100000000+$H21*100+ROW()/1000)))</x:f>
      </x:c>
    </x:row>
    <x:row r="22">
      <x:c r="A22" s="12" t="n"/>
      <x:c r="B22" s="12" t="n"/>
      <x:c r="C22" s="12" t="n"/>
      <x:c r="D22" s="12" t="n"/>
      <x:c r="E22" s="12" t="n"/>
      <x:c r="F22" s="14" t="n"/>
      <x:c r="G22" s="14" t="n"/>
      <x:c r="H22" s="15">
        <x:f>IF(AND($F22="",$G22=""),"",MAX($F22-$G22,0))</x:f>
      </x:c>
      <x:c r="I22" s="13" t="n"/>
      <x:c r="J22" s="17">
        <x:f>IF($A22="","",IF(OR($I22="",$H22&lt;=0),"",MAX(TODAY()-$I22,0)))</x:f>
      </x:c>
      <x:c r="K22" s="17">
        <x:f>IF($A22="","",IF($H22&lt;=0,"已回清",IF($I22="","",IF($J22=0,"未到期",IF($J22&lt;=30,"1-30天",IF($J22&lt;=60,"31-60天",IF($J22&lt;=90,"61-90天","90天以上")))))))</x:f>
      </x:c>
      <x:c r="L22" s="14" t="n"/>
      <x:c r="M22" s="14" t="n"/>
      <x:c r="N22" s="16">
        <x:f>IF($A22="","",IF($F22="","",IF($F22=0,0,$G22/$F22)))</x:f>
      </x:c>
      <x:c r="O22" s="12" t="n"/>
      <x:c r="P22" s="16">
        <x:f>IF(OR($B22="",$H22=""),"",IFERROR($H22/VLOOKUP($B22,Customers!$A$2:$J$201,10,FALSE),""))</x:f>
      </x:c>
      <x:c r="Q22" s="17">
        <x:f>IF($A22="","",IF($H22&lt;=0,"已回清",IF($J22="","",IF($J22&gt;90,"坏账风险",IF($J22&gt;60,"高风险",IF($J22&gt;30,"中风险",IF($J22&gt;0,"预警","正常")))))))</x:f>
      </x:c>
      <x:c r="R22" s="17">
        <x:f>IF($A22="","",IF($Q22="","",IF($Q22="坏账风险","法务介入 / 准备诉讼",IF($Q22="高风险","上门沟通 / 部门经理介入",IF($Q22="中风险","电话催收 / 周度跟进",IF($Q22="预警","提醒客户按期回款","持续跟踪"))))))</x:f>
      </x:c>
      <x:c r="S22" s="13" t="n"/>
      <x:c r="T22" s="12" t="n"/>
      <x:c r="U22" s="17">
        <x:f>IF($A22="","",IF($H22&lt;=0,0,IF($J22="",0,$J22*100000000+$H22*100+ROW()/1000)))</x:f>
      </x:c>
    </x:row>
    <x:row r="23">
      <x:c r="A23" s="12" t="n"/>
      <x:c r="B23" s="12" t="n"/>
      <x:c r="C23" s="12" t="n"/>
      <x:c r="D23" s="12" t="n"/>
      <x:c r="E23" s="12" t="n"/>
      <x:c r="F23" s="14" t="n"/>
      <x:c r="G23" s="14" t="n"/>
      <x:c r="H23" s="15">
        <x:f>IF(AND($F23="",$G23=""),"",MAX($F23-$G23,0))</x:f>
      </x:c>
      <x:c r="I23" s="13" t="n"/>
      <x:c r="J23" s="17">
        <x:f>IF($A23="","",IF(OR($I23="",$H23&lt;=0),"",MAX(TODAY()-$I23,0)))</x:f>
      </x:c>
      <x:c r="K23" s="17">
        <x:f>IF($A23="","",IF($H23&lt;=0,"已回清",IF($I23="","",IF($J23=0,"未到期",IF($J23&lt;=30,"1-30天",IF($J23&lt;=60,"31-60天",IF($J23&lt;=90,"61-90天","90天以上")))))))</x:f>
      </x:c>
      <x:c r="L23" s="14" t="n"/>
      <x:c r="M23" s="14" t="n"/>
      <x:c r="N23" s="16">
        <x:f>IF($A23="","",IF($F23="","",IF($F23=0,0,$G23/$F23)))</x:f>
      </x:c>
      <x:c r="O23" s="12" t="n"/>
      <x:c r="P23" s="16">
        <x:f>IF(OR($B23="",$H23=""),"",IFERROR($H23/VLOOKUP($B23,Customers!$A$2:$J$201,10,FALSE),""))</x:f>
      </x:c>
      <x:c r="Q23" s="17">
        <x:f>IF($A23="","",IF($H23&lt;=0,"已回清",IF($J23="","",IF($J23&gt;90,"坏账风险",IF($J23&gt;60,"高风险",IF($J23&gt;30,"中风险",IF($J23&gt;0,"预警","正常")))))))</x:f>
      </x:c>
      <x:c r="R23" s="17">
        <x:f>IF($A23="","",IF($Q23="","",IF($Q23="坏账风险","法务介入 / 准备诉讼",IF($Q23="高风险","上门沟通 / 部门经理介入",IF($Q23="中风险","电话催收 / 周度跟进",IF($Q23="预警","提醒客户按期回款","持续跟踪"))))))</x:f>
      </x:c>
      <x:c r="S23" s="13" t="n"/>
      <x:c r="T23" s="12" t="n"/>
      <x:c r="U23" s="17">
        <x:f>IF($A23="","",IF($H23&lt;=0,0,IF($J23="",0,$J23*100000000+$H23*100+ROW()/1000)))</x:f>
      </x:c>
    </x:row>
    <x:row r="24">
      <x:c r="A24" s="12" t="n"/>
      <x:c r="B24" s="12" t="n"/>
      <x:c r="C24" s="12" t="n"/>
      <x:c r="D24" s="12" t="n"/>
      <x:c r="E24" s="12" t="n"/>
      <x:c r="F24" s="14" t="n"/>
      <x:c r="G24" s="14" t="n"/>
      <x:c r="H24" s="15">
        <x:f>IF(AND($F24="",$G24=""),"",MAX($F24-$G24,0))</x:f>
      </x:c>
      <x:c r="I24" s="13" t="n"/>
      <x:c r="J24" s="17">
        <x:f>IF($A24="","",IF(OR($I24="",$H24&lt;=0),"",MAX(TODAY()-$I24,0)))</x:f>
      </x:c>
      <x:c r="K24" s="17">
        <x:f>IF($A24="","",IF($H24&lt;=0,"已回清",IF($I24="","",IF($J24=0,"未到期",IF($J24&lt;=30,"1-30天",IF($J24&lt;=60,"31-60天",IF($J24&lt;=90,"61-90天","90天以上")))))))</x:f>
      </x:c>
      <x:c r="L24" s="14" t="n"/>
      <x:c r="M24" s="14" t="n"/>
      <x:c r="N24" s="16">
        <x:f>IF($A24="","",IF($F24="","",IF($F24=0,0,$G24/$F24)))</x:f>
      </x:c>
      <x:c r="O24" s="12" t="n"/>
      <x:c r="P24" s="16">
        <x:f>IF(OR($B24="",$H24=""),"",IFERROR($H24/VLOOKUP($B24,Customers!$A$2:$J$201,10,FALSE),""))</x:f>
      </x:c>
      <x:c r="Q24" s="17">
        <x:f>IF($A24="","",IF($H24&lt;=0,"已回清",IF($J24="","",IF($J24&gt;90,"坏账风险",IF($J24&gt;60,"高风险",IF($J24&gt;30,"中风险",IF($J24&gt;0,"预警","正常")))))))</x:f>
      </x:c>
      <x:c r="R24" s="17">
        <x:f>IF($A24="","",IF($Q24="","",IF($Q24="坏账风险","法务介入 / 准备诉讼",IF($Q24="高风险","上门沟通 / 部门经理介入",IF($Q24="中风险","电话催收 / 周度跟进",IF($Q24="预警","提醒客户按期回款","持续跟踪"))))))</x:f>
      </x:c>
      <x:c r="S24" s="13" t="n"/>
      <x:c r="T24" s="12" t="n"/>
      <x:c r="U24" s="17">
        <x:f>IF($A24="","",IF($H24&lt;=0,0,IF($J24="",0,$J24*100000000+$H24*100+ROW()/1000)))</x:f>
      </x:c>
    </x:row>
    <x:row r="25">
      <x:c r="A25" s="12" t="n"/>
      <x:c r="B25" s="12" t="n"/>
      <x:c r="C25" s="12" t="n"/>
      <x:c r="D25" s="12" t="n"/>
      <x:c r="E25" s="12" t="n"/>
      <x:c r="F25" s="14" t="n"/>
      <x:c r="G25" s="14" t="n"/>
      <x:c r="H25" s="15">
        <x:f>IF(AND($F25="",$G25=""),"",MAX($F25-$G25,0))</x:f>
      </x:c>
      <x:c r="I25" s="13" t="n"/>
      <x:c r="J25" s="17">
        <x:f>IF($A25="","",IF(OR($I25="",$H25&lt;=0),"",MAX(TODAY()-$I25,0)))</x:f>
      </x:c>
      <x:c r="K25" s="17">
        <x:f>IF($A25="","",IF($H25&lt;=0,"已回清",IF($I25="","",IF($J25=0,"未到期",IF($J25&lt;=30,"1-30天",IF($J25&lt;=60,"31-60天",IF($J25&lt;=90,"61-90天","90天以上")))))))</x:f>
      </x:c>
      <x:c r="L25" s="14" t="n"/>
      <x:c r="M25" s="14" t="n"/>
      <x:c r="N25" s="16">
        <x:f>IF($A25="","",IF($F25="","",IF($F25=0,0,$G25/$F25)))</x:f>
      </x:c>
      <x:c r="O25" s="12" t="n"/>
      <x:c r="P25" s="16">
        <x:f>IF(OR($B25="",$H25=""),"",IFERROR($H25/VLOOKUP($B25,Customers!$A$2:$J$201,10,FALSE),""))</x:f>
      </x:c>
      <x:c r="Q25" s="17">
        <x:f>IF($A25="","",IF($H25&lt;=0,"已回清",IF($J25="","",IF($J25&gt;90,"坏账风险",IF($J25&gt;60,"高风险",IF($J25&gt;30,"中风险",IF($J25&gt;0,"预警","正常")))))))</x:f>
      </x:c>
      <x:c r="R25" s="17">
        <x:f>IF($A25="","",IF($Q25="","",IF($Q25="坏账风险","法务介入 / 准备诉讼",IF($Q25="高风险","上门沟通 / 部门经理介入",IF($Q25="中风险","电话催收 / 周度跟进",IF($Q25="预警","提醒客户按期回款","持续跟踪"))))))</x:f>
      </x:c>
      <x:c r="S25" s="13" t="n"/>
      <x:c r="T25" s="12" t="n"/>
      <x:c r="U25" s="17">
        <x:f>IF($A25="","",IF($H25&lt;=0,0,IF($J25="",0,$J25*100000000+$H25*100+ROW()/1000)))</x:f>
      </x:c>
    </x:row>
    <x:row r="26">
      <x:c r="A26" s="12" t="n"/>
      <x:c r="B26" s="12" t="n"/>
      <x:c r="C26" s="12" t="n"/>
      <x:c r="D26" s="12" t="n"/>
      <x:c r="E26" s="12" t="n"/>
      <x:c r="F26" s="14" t="n"/>
      <x:c r="G26" s="14" t="n"/>
      <x:c r="H26" s="15">
        <x:f>IF(AND($F26="",$G26=""),"",MAX($F26-$G26,0))</x:f>
      </x:c>
      <x:c r="I26" s="13" t="n"/>
      <x:c r="J26" s="17">
        <x:f>IF($A26="","",IF(OR($I26="",$H26&lt;=0),"",MAX(TODAY()-$I26,0)))</x:f>
      </x:c>
      <x:c r="K26" s="17">
        <x:f>IF($A26="","",IF($H26&lt;=0,"已回清",IF($I26="","",IF($J26=0,"未到期",IF($J26&lt;=30,"1-30天",IF($J26&lt;=60,"31-60天",IF($J26&lt;=90,"61-90天","90天以上")))))))</x:f>
      </x:c>
      <x:c r="L26" s="14" t="n"/>
      <x:c r="M26" s="14" t="n"/>
      <x:c r="N26" s="16">
        <x:f>IF($A26="","",IF($F26="","",IF($F26=0,0,$G26/$F26)))</x:f>
      </x:c>
      <x:c r="O26" s="12" t="n"/>
      <x:c r="P26" s="16">
        <x:f>IF(OR($B26="",$H26=""),"",IFERROR($H26/VLOOKUP($B26,Customers!$A$2:$J$201,10,FALSE),""))</x:f>
      </x:c>
      <x:c r="Q26" s="17">
        <x:f>IF($A26="","",IF($H26&lt;=0,"已回清",IF($J26="","",IF($J26&gt;90,"坏账风险",IF($J26&gt;60,"高风险",IF($J26&gt;30,"中风险",IF($J26&gt;0,"预警","正常")))))))</x:f>
      </x:c>
      <x:c r="R26" s="17">
        <x:f>IF($A26="","",IF($Q26="","",IF($Q26="坏账风险","法务介入 / 准备诉讼",IF($Q26="高风险","上门沟通 / 部门经理介入",IF($Q26="中风险","电话催收 / 周度跟进",IF($Q26="预警","提醒客户按期回款","持续跟踪"))))))</x:f>
      </x:c>
      <x:c r="S26" s="13" t="n"/>
      <x:c r="T26" s="12" t="n"/>
      <x:c r="U26" s="17">
        <x:f>IF($A26="","",IF($H26&lt;=0,0,IF($J26="",0,$J26*100000000+$H26*100+ROW()/1000)))</x:f>
      </x:c>
    </x:row>
    <x:row r="27">
      <x:c r="A27" s="12" t="n"/>
      <x:c r="B27" s="12" t="n"/>
      <x:c r="C27" s="12" t="n"/>
      <x:c r="D27" s="12" t="n"/>
      <x:c r="E27" s="12" t="n"/>
      <x:c r="F27" s="14" t="n"/>
      <x:c r="G27" s="14" t="n"/>
      <x:c r="H27" s="15">
        <x:f>IF(AND($F27="",$G27=""),"",MAX($F27-$G27,0))</x:f>
      </x:c>
      <x:c r="I27" s="13" t="n"/>
      <x:c r="J27" s="17">
        <x:f>IF($A27="","",IF(OR($I27="",$H27&lt;=0),"",MAX(TODAY()-$I27,0)))</x:f>
      </x:c>
      <x:c r="K27" s="17">
        <x:f>IF($A27="","",IF($H27&lt;=0,"已回清",IF($I27="","",IF($J27=0,"未到期",IF($J27&lt;=30,"1-30天",IF($J27&lt;=60,"31-60天",IF($J27&lt;=90,"61-90天","90天以上")))))))</x:f>
      </x:c>
      <x:c r="L27" s="14" t="n"/>
      <x:c r="M27" s="14" t="n"/>
      <x:c r="N27" s="16">
        <x:f>IF($A27="","",IF($F27="","",IF($F27=0,0,$G27/$F27)))</x:f>
      </x:c>
      <x:c r="O27" s="12" t="n"/>
      <x:c r="P27" s="16">
        <x:f>IF(OR($B27="",$H27=""),"",IFERROR($H27/VLOOKUP($B27,Customers!$A$2:$J$201,10,FALSE),""))</x:f>
      </x:c>
      <x:c r="Q27" s="17">
        <x:f>IF($A27="","",IF($H27&lt;=0,"已回清",IF($J27="","",IF($J27&gt;90,"坏账风险",IF($J27&gt;60,"高风险",IF($J27&gt;30,"中风险",IF($J27&gt;0,"预警","正常")))))))</x:f>
      </x:c>
      <x:c r="R27" s="17">
        <x:f>IF($A27="","",IF($Q27="","",IF($Q27="坏账风险","法务介入 / 准备诉讼",IF($Q27="高风险","上门沟通 / 部门经理介入",IF($Q27="中风险","电话催收 / 周度跟进",IF($Q27="预警","提醒客户按期回款","持续跟踪"))))))</x:f>
      </x:c>
      <x:c r="S27" s="13" t="n"/>
      <x:c r="T27" s="12" t="n"/>
      <x:c r="U27" s="17">
        <x:f>IF($A27="","",IF($H27&lt;=0,0,IF($J27="",0,$J27*100000000+$H27*100+ROW()/1000)))</x:f>
      </x:c>
    </x:row>
    <x:row r="28">
      <x:c r="A28" s="12" t="n"/>
      <x:c r="B28" s="12" t="n"/>
      <x:c r="C28" s="12" t="n"/>
      <x:c r="D28" s="12" t="n"/>
      <x:c r="E28" s="12" t="n"/>
      <x:c r="F28" s="14" t="n"/>
      <x:c r="G28" s="14" t="n"/>
      <x:c r="H28" s="15">
        <x:f>IF(AND($F28="",$G28=""),"",MAX($F28-$G28,0))</x:f>
      </x:c>
      <x:c r="I28" s="13" t="n"/>
      <x:c r="J28" s="17">
        <x:f>IF($A28="","",IF(OR($I28="",$H28&lt;=0),"",MAX(TODAY()-$I28,0)))</x:f>
      </x:c>
      <x:c r="K28" s="17">
        <x:f>IF($A28="","",IF($H28&lt;=0,"已回清",IF($I28="","",IF($J28=0,"未到期",IF($J28&lt;=30,"1-30天",IF($J28&lt;=60,"31-60天",IF($J28&lt;=90,"61-90天","90天以上")))))))</x:f>
      </x:c>
      <x:c r="L28" s="14" t="n"/>
      <x:c r="M28" s="14" t="n"/>
      <x:c r="N28" s="16">
        <x:f>IF($A28="","",IF($F28="","",IF($F28=0,0,$G28/$F28)))</x:f>
      </x:c>
      <x:c r="O28" s="12" t="n"/>
      <x:c r="P28" s="16">
        <x:f>IF(OR($B28="",$H28=""),"",IFERROR($H28/VLOOKUP($B28,Customers!$A$2:$J$201,10,FALSE),""))</x:f>
      </x:c>
      <x:c r="Q28" s="17">
        <x:f>IF($A28="","",IF($H28&lt;=0,"已回清",IF($J28="","",IF($J28&gt;90,"坏账风险",IF($J28&gt;60,"高风险",IF($J28&gt;30,"中风险",IF($J28&gt;0,"预警","正常")))))))</x:f>
      </x:c>
      <x:c r="R28" s="17">
        <x:f>IF($A28="","",IF($Q28="","",IF($Q28="坏账风险","法务介入 / 准备诉讼",IF($Q28="高风险","上门沟通 / 部门经理介入",IF($Q28="中风险","电话催收 / 周度跟进",IF($Q28="预警","提醒客户按期回款","持续跟踪"))))))</x:f>
      </x:c>
      <x:c r="S28" s="13" t="n"/>
      <x:c r="T28" s="12" t="n"/>
      <x:c r="U28" s="17">
        <x:f>IF($A28="","",IF($H28&lt;=0,0,IF($J28="",0,$J28*100000000+$H28*100+ROW()/1000)))</x:f>
      </x:c>
    </x:row>
    <x:row r="29">
      <x:c r="A29" s="12" t="n"/>
      <x:c r="B29" s="12" t="n"/>
      <x:c r="C29" s="12" t="n"/>
      <x:c r="D29" s="12" t="n"/>
      <x:c r="E29" s="12" t="n"/>
      <x:c r="F29" s="14" t="n"/>
      <x:c r="G29" s="14" t="n"/>
      <x:c r="H29" s="15">
        <x:f>IF(AND($F29="",$G29=""),"",MAX($F29-$G29,0))</x:f>
      </x:c>
      <x:c r="I29" s="13" t="n"/>
      <x:c r="J29" s="17">
        <x:f>IF($A29="","",IF(OR($I29="",$H29&lt;=0),"",MAX(TODAY()-$I29,0)))</x:f>
      </x:c>
      <x:c r="K29" s="17">
        <x:f>IF($A29="","",IF($H29&lt;=0,"已回清",IF($I29="","",IF($J29=0,"未到期",IF($J29&lt;=30,"1-30天",IF($J29&lt;=60,"31-60天",IF($J29&lt;=90,"61-90天","90天以上")))))))</x:f>
      </x:c>
      <x:c r="L29" s="14" t="n"/>
      <x:c r="M29" s="14" t="n"/>
      <x:c r="N29" s="16">
        <x:f>IF($A29="","",IF($F29="","",IF($F29=0,0,$G29/$F29)))</x:f>
      </x:c>
      <x:c r="O29" s="12" t="n"/>
      <x:c r="P29" s="16">
        <x:f>IF(OR($B29="",$H29=""),"",IFERROR($H29/VLOOKUP($B29,Customers!$A$2:$J$201,10,FALSE),""))</x:f>
      </x:c>
      <x:c r="Q29" s="17">
        <x:f>IF($A29="","",IF($H29&lt;=0,"已回清",IF($J29="","",IF($J29&gt;90,"坏账风险",IF($J29&gt;60,"高风险",IF($J29&gt;30,"中风险",IF($J29&gt;0,"预警","正常")))))))</x:f>
      </x:c>
      <x:c r="R29" s="17">
        <x:f>IF($A29="","",IF($Q29="","",IF($Q29="坏账风险","法务介入 / 准备诉讼",IF($Q29="高风险","上门沟通 / 部门经理介入",IF($Q29="中风险","电话催收 / 周度跟进",IF($Q29="预警","提醒客户按期回款","持续跟踪"))))))</x:f>
      </x:c>
      <x:c r="S29" s="13" t="n"/>
      <x:c r="T29" s="12" t="n"/>
      <x:c r="U29" s="17">
        <x:f>IF($A29="","",IF($H29&lt;=0,0,IF($J29="",0,$J29*100000000+$H29*100+ROW()/1000)))</x:f>
      </x:c>
    </x:row>
    <x:row r="30">
      <x:c r="A30" s="12" t="n"/>
      <x:c r="B30" s="12" t="n"/>
      <x:c r="C30" s="12" t="n"/>
      <x:c r="D30" s="12" t="n"/>
      <x:c r="E30" s="12" t="n"/>
      <x:c r="F30" s="14" t="n"/>
      <x:c r="G30" s="14" t="n"/>
      <x:c r="H30" s="15">
        <x:f>IF(AND($F30="",$G30=""),"",MAX($F30-$G30,0))</x:f>
      </x:c>
      <x:c r="I30" s="13" t="n"/>
      <x:c r="J30" s="17">
        <x:f>IF($A30="","",IF(OR($I30="",$H30&lt;=0),"",MAX(TODAY()-$I30,0)))</x:f>
      </x:c>
      <x:c r="K30" s="17">
        <x:f>IF($A30="","",IF($H30&lt;=0,"已回清",IF($I30="","",IF($J30=0,"未到期",IF($J30&lt;=30,"1-30天",IF($J30&lt;=60,"31-60天",IF($J30&lt;=90,"61-90天","90天以上")))))))</x:f>
      </x:c>
      <x:c r="L30" s="14" t="n"/>
      <x:c r="M30" s="14" t="n"/>
      <x:c r="N30" s="16">
        <x:f>IF($A30="","",IF($F30="","",IF($F30=0,0,$G30/$F30)))</x:f>
      </x:c>
      <x:c r="O30" s="12" t="n"/>
      <x:c r="P30" s="16">
        <x:f>IF(OR($B30="",$H30=""),"",IFERROR($H30/VLOOKUP($B30,Customers!$A$2:$J$201,10,FALSE),""))</x:f>
      </x:c>
      <x:c r="Q30" s="17">
        <x:f>IF($A30="","",IF($H30&lt;=0,"已回清",IF($J30="","",IF($J30&gt;90,"坏账风险",IF($J30&gt;60,"高风险",IF($J30&gt;30,"中风险",IF($J30&gt;0,"预警","正常")))))))</x:f>
      </x:c>
      <x:c r="R30" s="17">
        <x:f>IF($A30="","",IF($Q30="","",IF($Q30="坏账风险","法务介入 / 准备诉讼",IF($Q30="高风险","上门沟通 / 部门经理介入",IF($Q30="中风险","电话催收 / 周度跟进",IF($Q30="预警","提醒客户按期回款","持续跟踪"))))))</x:f>
      </x:c>
      <x:c r="S30" s="13" t="n"/>
      <x:c r="T30" s="12" t="n"/>
      <x:c r="U30" s="17">
        <x:f>IF($A30="","",IF($H30&lt;=0,0,IF($J30="",0,$J30*100000000+$H30*100+ROW()/1000)))</x:f>
      </x:c>
    </x:row>
    <x:row r="31">
      <x:c r="A31" s="12" t="n"/>
      <x:c r="B31" s="12" t="n"/>
      <x:c r="C31" s="12" t="n"/>
      <x:c r="D31" s="12" t="n"/>
      <x:c r="E31" s="12" t="n"/>
      <x:c r="F31" s="14" t="n"/>
      <x:c r="G31" s="14" t="n"/>
      <x:c r="H31" s="15">
        <x:f>IF(AND($F31="",$G31=""),"",MAX($F31-$G31,0))</x:f>
      </x:c>
      <x:c r="I31" s="13" t="n"/>
      <x:c r="J31" s="17">
        <x:f>IF($A31="","",IF(OR($I31="",$H31&lt;=0),"",MAX(TODAY()-$I31,0)))</x:f>
      </x:c>
      <x:c r="K31" s="17">
        <x:f>IF($A31="","",IF($H31&lt;=0,"已回清",IF($I31="","",IF($J31=0,"未到期",IF($J31&lt;=30,"1-30天",IF($J31&lt;=60,"31-60天",IF($J31&lt;=90,"61-90天","90天以上")))))))</x:f>
      </x:c>
      <x:c r="L31" s="14" t="n"/>
      <x:c r="M31" s="14" t="n"/>
      <x:c r="N31" s="16">
        <x:f>IF($A31="","",IF($F31="","",IF($F31=0,0,$G31/$F31)))</x:f>
      </x:c>
      <x:c r="O31" s="12" t="n"/>
      <x:c r="P31" s="16">
        <x:f>IF(OR($B31="",$H31=""),"",IFERROR($H31/VLOOKUP($B31,Customers!$A$2:$J$201,10,FALSE),""))</x:f>
      </x:c>
      <x:c r="Q31" s="17">
        <x:f>IF($A31="","",IF($H31&lt;=0,"已回清",IF($J31="","",IF($J31&gt;90,"坏账风险",IF($J31&gt;60,"高风险",IF($J31&gt;30,"中风险",IF($J31&gt;0,"预警","正常")))))))</x:f>
      </x:c>
      <x:c r="R31" s="17">
        <x:f>IF($A31="","",IF($Q31="","",IF($Q31="坏账风险","法务介入 / 准备诉讼",IF($Q31="高风险","上门沟通 / 部门经理介入",IF($Q31="中风险","电话催收 / 周度跟进",IF($Q31="预警","提醒客户按期回款","持续跟踪"))))))</x:f>
      </x:c>
      <x:c r="S31" s="13" t="n"/>
      <x:c r="T31" s="12" t="n"/>
      <x:c r="U31" s="17">
        <x:f>IF($A31="","",IF($H31&lt;=0,0,IF($J31="",0,$J31*100000000+$H31*100+ROW()/1000)))</x:f>
      </x:c>
    </x:row>
    <x:row r="32">
      <x:c r="A32" s="12" t="n"/>
      <x:c r="B32" s="12" t="n"/>
      <x:c r="C32" s="12" t="n"/>
      <x:c r="D32" s="12" t="n"/>
      <x:c r="E32" s="12" t="n"/>
      <x:c r="F32" s="14" t="n"/>
      <x:c r="G32" s="14" t="n"/>
      <x:c r="H32" s="15">
        <x:f>IF(AND($F32="",$G32=""),"",MAX($F32-$G32,0))</x:f>
      </x:c>
      <x:c r="I32" s="13" t="n"/>
      <x:c r="J32" s="17">
        <x:f>IF($A32="","",IF(OR($I32="",$H32&lt;=0),"",MAX(TODAY()-$I32,0)))</x:f>
      </x:c>
      <x:c r="K32" s="17">
        <x:f>IF($A32="","",IF($H32&lt;=0,"已回清",IF($I32="","",IF($J32=0,"未到期",IF($J32&lt;=30,"1-30天",IF($J32&lt;=60,"31-60天",IF($J32&lt;=90,"61-90天","90天以上")))))))</x:f>
      </x:c>
      <x:c r="L32" s="14" t="n"/>
      <x:c r="M32" s="14" t="n"/>
      <x:c r="N32" s="16">
        <x:f>IF($A32="","",IF($F32="","",IF($F32=0,0,$G32/$F32)))</x:f>
      </x:c>
      <x:c r="O32" s="12" t="n"/>
      <x:c r="P32" s="16">
        <x:f>IF(OR($B32="",$H32=""),"",IFERROR($H32/VLOOKUP($B32,Customers!$A$2:$J$201,10,FALSE),""))</x:f>
      </x:c>
      <x:c r="Q32" s="17">
        <x:f>IF($A32="","",IF($H32&lt;=0,"已回清",IF($J32="","",IF($J32&gt;90,"坏账风险",IF($J32&gt;60,"高风险",IF($J32&gt;30,"中风险",IF($J32&gt;0,"预警","正常")))))))</x:f>
      </x:c>
      <x:c r="R32" s="17">
        <x:f>IF($A32="","",IF($Q32="","",IF($Q32="坏账风险","法务介入 / 准备诉讼",IF($Q32="高风险","上门沟通 / 部门经理介入",IF($Q32="中风险","电话催收 / 周度跟进",IF($Q32="预警","提醒客户按期回款","持续跟踪"))))))</x:f>
      </x:c>
      <x:c r="S32" s="13" t="n"/>
      <x:c r="T32" s="12" t="n"/>
      <x:c r="U32" s="17">
        <x:f>IF($A32="","",IF($H32&lt;=0,0,IF($J32="",0,$J32*100000000+$H32*100+ROW()/1000)))</x:f>
      </x:c>
    </x:row>
    <x:row r="33">
      <x:c r="A33" s="12" t="n"/>
      <x:c r="B33" s="12" t="n"/>
      <x:c r="C33" s="12" t="n"/>
      <x:c r="D33" s="12" t="n"/>
      <x:c r="E33" s="12" t="n"/>
      <x:c r="F33" s="14" t="n"/>
      <x:c r="G33" s="14" t="n"/>
      <x:c r="H33" s="15">
        <x:f>IF(AND($F33="",$G33=""),"",MAX($F33-$G33,0))</x:f>
      </x:c>
      <x:c r="I33" s="13" t="n"/>
      <x:c r="J33" s="17">
        <x:f>IF($A33="","",IF(OR($I33="",$H33&lt;=0),"",MAX(TODAY()-$I33,0)))</x:f>
      </x:c>
      <x:c r="K33" s="17">
        <x:f>IF($A33="","",IF($H33&lt;=0,"已回清",IF($I33="","",IF($J33=0,"未到期",IF($J33&lt;=30,"1-30天",IF($J33&lt;=60,"31-60天",IF($J33&lt;=90,"61-90天","90天以上")))))))</x:f>
      </x:c>
      <x:c r="L33" s="14" t="n"/>
      <x:c r="M33" s="14" t="n"/>
      <x:c r="N33" s="16">
        <x:f>IF($A33="","",IF($F33="","",IF($F33=0,0,$G33/$F33)))</x:f>
      </x:c>
      <x:c r="O33" s="12" t="n"/>
      <x:c r="P33" s="16">
        <x:f>IF(OR($B33="",$H33=""),"",IFERROR($H33/VLOOKUP($B33,Customers!$A$2:$J$201,10,FALSE),""))</x:f>
      </x:c>
      <x:c r="Q33" s="17">
        <x:f>IF($A33="","",IF($H33&lt;=0,"已回清",IF($J33="","",IF($J33&gt;90,"坏账风险",IF($J33&gt;60,"高风险",IF($J33&gt;30,"中风险",IF($J33&gt;0,"预警","正常")))))))</x:f>
      </x:c>
      <x:c r="R33" s="17">
        <x:f>IF($A33="","",IF($Q33="","",IF($Q33="坏账风险","法务介入 / 准备诉讼",IF($Q33="高风险","上门沟通 / 部门经理介入",IF($Q33="中风险","电话催收 / 周度跟进",IF($Q33="预警","提醒客户按期回款","持续跟踪"))))))</x:f>
      </x:c>
      <x:c r="S33" s="13" t="n"/>
      <x:c r="T33" s="12" t="n"/>
      <x:c r="U33" s="17">
        <x:f>IF($A33="","",IF($H33&lt;=0,0,IF($J33="",0,$J33*100000000+$H33*100+ROW()/1000)))</x:f>
      </x:c>
    </x:row>
    <x:row r="34">
      <x:c r="A34" s="12" t="n"/>
      <x:c r="B34" s="12" t="n"/>
      <x:c r="C34" s="12" t="n"/>
      <x:c r="D34" s="12" t="n"/>
      <x:c r="E34" s="12" t="n"/>
      <x:c r="F34" s="14" t="n"/>
      <x:c r="G34" s="14" t="n"/>
      <x:c r="H34" s="15">
        <x:f>IF(AND($F34="",$G34=""),"",MAX($F34-$G34,0))</x:f>
      </x:c>
      <x:c r="I34" s="13" t="n"/>
      <x:c r="J34" s="17">
        <x:f>IF($A34="","",IF(OR($I34="",$H34&lt;=0),"",MAX(TODAY()-$I34,0)))</x:f>
      </x:c>
      <x:c r="K34" s="17">
        <x:f>IF($A34="","",IF($H34&lt;=0,"已回清",IF($I34="","",IF($J34=0,"未到期",IF($J34&lt;=30,"1-30天",IF($J34&lt;=60,"31-60天",IF($J34&lt;=90,"61-90天","90天以上")))))))</x:f>
      </x:c>
      <x:c r="L34" s="14" t="n"/>
      <x:c r="M34" s="14" t="n"/>
      <x:c r="N34" s="16">
        <x:f>IF($A34="","",IF($F34="","",IF($F34=0,0,$G34/$F34)))</x:f>
      </x:c>
      <x:c r="O34" s="12" t="n"/>
      <x:c r="P34" s="16">
        <x:f>IF(OR($B34="",$H34=""),"",IFERROR($H34/VLOOKUP($B34,Customers!$A$2:$J$201,10,FALSE),""))</x:f>
      </x:c>
      <x:c r="Q34" s="17">
        <x:f>IF($A34="","",IF($H34&lt;=0,"已回清",IF($J34="","",IF($J34&gt;90,"坏账风险",IF($J34&gt;60,"高风险",IF($J34&gt;30,"中风险",IF($J34&gt;0,"预警","正常")))))))</x:f>
      </x:c>
      <x:c r="R34" s="17">
        <x:f>IF($A34="","",IF($Q34="","",IF($Q34="坏账风险","法务介入 / 准备诉讼",IF($Q34="高风险","上门沟通 / 部门经理介入",IF($Q34="中风险","电话催收 / 周度跟进",IF($Q34="预警","提醒客户按期回款","持续跟踪"))))))</x:f>
      </x:c>
      <x:c r="S34" s="13" t="n"/>
      <x:c r="T34" s="12" t="n"/>
      <x:c r="U34" s="17">
        <x:f>IF($A34="","",IF($H34&lt;=0,0,IF($J34="",0,$J34*100000000+$H34*100+ROW()/1000)))</x:f>
      </x:c>
    </x:row>
    <x:row r="35">
      <x:c r="A35" s="12" t="n"/>
      <x:c r="B35" s="12" t="n"/>
      <x:c r="C35" s="12" t="n"/>
      <x:c r="D35" s="12" t="n"/>
      <x:c r="E35" s="12" t="n"/>
      <x:c r="F35" s="14" t="n"/>
      <x:c r="G35" s="14" t="n"/>
      <x:c r="H35" s="15">
        <x:f>IF(AND($F35="",$G35=""),"",MAX($F35-$G35,0))</x:f>
      </x:c>
      <x:c r="I35" s="13" t="n"/>
      <x:c r="J35" s="17">
        <x:f>IF($A35="","",IF(OR($I35="",$H35&lt;=0),"",MAX(TODAY()-$I35,0)))</x:f>
      </x:c>
      <x:c r="K35" s="17">
        <x:f>IF($A35="","",IF($H35&lt;=0,"已回清",IF($I35="","",IF($J35=0,"未到期",IF($J35&lt;=30,"1-30天",IF($J35&lt;=60,"31-60天",IF($J35&lt;=90,"61-90天","90天以上")))))))</x:f>
      </x:c>
      <x:c r="L35" s="14" t="n"/>
      <x:c r="M35" s="14" t="n"/>
      <x:c r="N35" s="16">
        <x:f>IF($A35="","",IF($F35="","",IF($F35=0,0,$G35/$F35)))</x:f>
      </x:c>
      <x:c r="O35" s="12" t="n"/>
      <x:c r="P35" s="16">
        <x:f>IF(OR($B35="",$H35=""),"",IFERROR($H35/VLOOKUP($B35,Customers!$A$2:$J$201,10,FALSE),""))</x:f>
      </x:c>
      <x:c r="Q35" s="17">
        <x:f>IF($A35="","",IF($H35&lt;=0,"已回清",IF($J35="","",IF($J35&gt;90,"坏账风险",IF($J35&gt;60,"高风险",IF($J35&gt;30,"中风险",IF($J35&gt;0,"预警","正常")))))))</x:f>
      </x:c>
      <x:c r="R35" s="17">
        <x:f>IF($A35="","",IF($Q35="","",IF($Q35="坏账风险","法务介入 / 准备诉讼",IF($Q35="高风险","上门沟通 / 部门经理介入",IF($Q35="中风险","电话催收 / 周度跟进",IF($Q35="预警","提醒客户按期回款","持续跟踪"))))))</x:f>
      </x:c>
      <x:c r="S35" s="13" t="n"/>
      <x:c r="T35" s="12" t="n"/>
      <x:c r="U35" s="17">
        <x:f>IF($A35="","",IF($H35&lt;=0,0,IF($J35="",0,$J35*100000000+$H35*100+ROW()/1000)))</x:f>
      </x:c>
    </x:row>
    <x:row r="36">
      <x:c r="A36" s="12" t="n"/>
      <x:c r="B36" s="12" t="n"/>
      <x:c r="C36" s="12" t="n"/>
      <x:c r="D36" s="12" t="n"/>
      <x:c r="E36" s="12" t="n"/>
      <x:c r="F36" s="14" t="n"/>
      <x:c r="G36" s="14" t="n"/>
      <x:c r="H36" s="15">
        <x:f>IF(AND($F36="",$G36=""),"",MAX($F36-$G36,0))</x:f>
      </x:c>
      <x:c r="I36" s="13" t="n"/>
      <x:c r="J36" s="17">
        <x:f>IF($A36="","",IF(OR($I36="",$H36&lt;=0),"",MAX(TODAY()-$I36,0)))</x:f>
      </x:c>
      <x:c r="K36" s="17">
        <x:f>IF($A36="","",IF($H36&lt;=0,"已回清",IF($I36="","",IF($J36=0,"未到期",IF($J36&lt;=30,"1-30天",IF($J36&lt;=60,"31-60天",IF($J36&lt;=90,"61-90天","90天以上")))))))</x:f>
      </x:c>
      <x:c r="L36" s="14" t="n"/>
      <x:c r="M36" s="14" t="n"/>
      <x:c r="N36" s="16">
        <x:f>IF($A36="","",IF($F36="","",IF($F36=0,0,$G36/$F36)))</x:f>
      </x:c>
      <x:c r="O36" s="12" t="n"/>
      <x:c r="P36" s="16">
        <x:f>IF(OR($B36="",$H36=""),"",IFERROR($H36/VLOOKUP($B36,Customers!$A$2:$J$201,10,FALSE),""))</x:f>
      </x:c>
      <x:c r="Q36" s="17">
        <x:f>IF($A36="","",IF($H36&lt;=0,"已回清",IF($J36="","",IF($J36&gt;90,"坏账风险",IF($J36&gt;60,"高风险",IF($J36&gt;30,"中风险",IF($J36&gt;0,"预警","正常")))))))</x:f>
      </x:c>
      <x:c r="R36" s="17">
        <x:f>IF($A36="","",IF($Q36="","",IF($Q36="坏账风险","法务介入 / 准备诉讼",IF($Q36="高风险","上门沟通 / 部门经理介入",IF($Q36="中风险","电话催收 / 周度跟进",IF($Q36="预警","提醒客户按期回款","持续跟踪"))))))</x:f>
      </x:c>
      <x:c r="S36" s="13" t="n"/>
      <x:c r="T36" s="12" t="n"/>
      <x:c r="U36" s="17">
        <x:f>IF($A36="","",IF($H36&lt;=0,0,IF($J36="",0,$J36*100000000+$H36*100+ROW()/1000)))</x:f>
      </x:c>
    </x:row>
    <x:row r="37">
      <x:c r="A37" s="12" t="n"/>
      <x:c r="B37" s="12" t="n"/>
      <x:c r="C37" s="12" t="n"/>
      <x:c r="D37" s="12" t="n"/>
      <x:c r="E37" s="12" t="n"/>
      <x:c r="F37" s="14" t="n"/>
      <x:c r="G37" s="14" t="n"/>
      <x:c r="H37" s="15">
        <x:f>IF(AND($F37="",$G37=""),"",MAX($F37-$G37,0))</x:f>
      </x:c>
      <x:c r="I37" s="13" t="n"/>
      <x:c r="J37" s="17">
        <x:f>IF($A37="","",IF(OR($I37="",$H37&lt;=0),"",MAX(TODAY()-$I37,0)))</x:f>
      </x:c>
      <x:c r="K37" s="17">
        <x:f>IF($A37="","",IF($H37&lt;=0,"已回清",IF($I37="","",IF($J37=0,"未到期",IF($J37&lt;=30,"1-30天",IF($J37&lt;=60,"31-60天",IF($J37&lt;=90,"61-90天","90天以上")))))))</x:f>
      </x:c>
      <x:c r="L37" s="14" t="n"/>
      <x:c r="M37" s="14" t="n"/>
      <x:c r="N37" s="16">
        <x:f>IF($A37="","",IF($F37="","",IF($F37=0,0,$G37/$F37)))</x:f>
      </x:c>
      <x:c r="O37" s="12" t="n"/>
      <x:c r="P37" s="16">
        <x:f>IF(OR($B37="",$H37=""),"",IFERROR($H37/VLOOKUP($B37,Customers!$A$2:$J$201,10,FALSE),""))</x:f>
      </x:c>
      <x:c r="Q37" s="17">
        <x:f>IF($A37="","",IF($H37&lt;=0,"已回清",IF($J37="","",IF($J37&gt;90,"坏账风险",IF($J37&gt;60,"高风险",IF($J37&gt;30,"中风险",IF($J37&gt;0,"预警","正常")))))))</x:f>
      </x:c>
      <x:c r="R37" s="17">
        <x:f>IF($A37="","",IF($Q37="","",IF($Q37="坏账风险","法务介入 / 准备诉讼",IF($Q37="高风险","上门沟通 / 部门经理介入",IF($Q37="中风险","电话催收 / 周度跟进",IF($Q37="预警","提醒客户按期回款","持续跟踪"))))))</x:f>
      </x:c>
      <x:c r="S37" s="13" t="n"/>
      <x:c r="T37" s="12" t="n"/>
      <x:c r="U37" s="17">
        <x:f>IF($A37="","",IF($H37&lt;=0,0,IF($J37="",0,$J37*100000000+$H37*100+ROW()/1000)))</x:f>
      </x:c>
    </x:row>
    <x:row r="38">
      <x:c r="A38" s="12" t="n"/>
      <x:c r="B38" s="12" t="n"/>
      <x:c r="C38" s="12" t="n"/>
      <x:c r="D38" s="12" t="n"/>
      <x:c r="E38" s="12" t="n"/>
      <x:c r="F38" s="14" t="n"/>
      <x:c r="G38" s="14" t="n"/>
      <x:c r="H38" s="15">
        <x:f>IF(AND($F38="",$G38=""),"",MAX($F38-$G38,0))</x:f>
      </x:c>
      <x:c r="I38" s="13" t="n"/>
      <x:c r="J38" s="17">
        <x:f>IF($A38="","",IF(OR($I38="",$H38&lt;=0),"",MAX(TODAY()-$I38,0)))</x:f>
      </x:c>
      <x:c r="K38" s="17">
        <x:f>IF($A38="","",IF($H38&lt;=0,"已回清",IF($I38="","",IF($J38=0,"未到期",IF($J38&lt;=30,"1-30天",IF($J38&lt;=60,"31-60天",IF($J38&lt;=90,"61-90天","90天以上")))))))</x:f>
      </x:c>
      <x:c r="L38" s="14" t="n"/>
      <x:c r="M38" s="14" t="n"/>
      <x:c r="N38" s="16">
        <x:f>IF($A38="","",IF($F38="","",IF($F38=0,0,$G38/$F38)))</x:f>
      </x:c>
      <x:c r="O38" s="12" t="n"/>
      <x:c r="P38" s="16">
        <x:f>IF(OR($B38="",$H38=""),"",IFERROR($H38/VLOOKUP($B38,Customers!$A$2:$J$201,10,FALSE),""))</x:f>
      </x:c>
      <x:c r="Q38" s="17">
        <x:f>IF($A38="","",IF($H38&lt;=0,"已回清",IF($J38="","",IF($J38&gt;90,"坏账风险",IF($J38&gt;60,"高风险",IF($J38&gt;30,"中风险",IF($J38&gt;0,"预警","正常")))))))</x:f>
      </x:c>
      <x:c r="R38" s="17">
        <x:f>IF($A38="","",IF($Q38="","",IF($Q38="坏账风险","法务介入 / 准备诉讼",IF($Q38="高风险","上门沟通 / 部门经理介入",IF($Q38="中风险","电话催收 / 周度跟进",IF($Q38="预警","提醒客户按期回款","持续跟踪"))))))</x:f>
      </x:c>
      <x:c r="S38" s="13" t="n"/>
      <x:c r="T38" s="12" t="n"/>
      <x:c r="U38" s="17">
        <x:f>IF($A38="","",IF($H38&lt;=0,0,IF($J38="",0,$J38*100000000+$H38*100+ROW()/1000)))</x:f>
      </x:c>
    </x:row>
    <x:row r="39">
      <x:c r="A39" s="12" t="n"/>
      <x:c r="B39" s="12" t="n"/>
      <x:c r="C39" s="12" t="n"/>
      <x:c r="D39" s="12" t="n"/>
      <x:c r="E39" s="12" t="n"/>
      <x:c r="F39" s="14" t="n"/>
      <x:c r="G39" s="14" t="n"/>
      <x:c r="H39" s="15">
        <x:f>IF(AND($F39="",$G39=""),"",MAX($F39-$G39,0))</x:f>
      </x:c>
      <x:c r="I39" s="13" t="n"/>
      <x:c r="J39" s="17">
        <x:f>IF($A39="","",IF(OR($I39="",$H39&lt;=0),"",MAX(TODAY()-$I39,0)))</x:f>
      </x:c>
      <x:c r="K39" s="17">
        <x:f>IF($A39="","",IF($H39&lt;=0,"已回清",IF($I39="","",IF($J39=0,"未到期",IF($J39&lt;=30,"1-30天",IF($J39&lt;=60,"31-60天",IF($J39&lt;=90,"61-90天","90天以上")))))))</x:f>
      </x:c>
      <x:c r="L39" s="14" t="n"/>
      <x:c r="M39" s="14" t="n"/>
      <x:c r="N39" s="16">
        <x:f>IF($A39="","",IF($F39="","",IF($F39=0,0,$G39/$F39)))</x:f>
      </x:c>
      <x:c r="O39" s="12" t="n"/>
      <x:c r="P39" s="16">
        <x:f>IF(OR($B39="",$H39=""),"",IFERROR($H39/VLOOKUP($B39,Customers!$A$2:$J$201,10,FALSE),""))</x:f>
      </x:c>
      <x:c r="Q39" s="17">
        <x:f>IF($A39="","",IF($H39&lt;=0,"已回清",IF($J39="","",IF($J39&gt;90,"坏账风险",IF($J39&gt;60,"高风险",IF($J39&gt;30,"中风险",IF($J39&gt;0,"预警","正常")))))))</x:f>
      </x:c>
      <x:c r="R39" s="17">
        <x:f>IF($A39="","",IF($Q39="","",IF($Q39="坏账风险","法务介入 / 准备诉讼",IF($Q39="高风险","上门沟通 / 部门经理介入",IF($Q39="中风险","电话催收 / 周度跟进",IF($Q39="预警","提醒客户按期回款","持续跟踪"))))))</x:f>
      </x:c>
      <x:c r="S39" s="13" t="n"/>
      <x:c r="T39" s="12" t="n"/>
      <x:c r="U39" s="17">
        <x:f>IF($A39="","",IF($H39&lt;=0,0,IF($J39="",0,$J39*100000000+$H39*100+ROW()/1000)))</x:f>
      </x:c>
    </x:row>
    <x:row r="40">
      <x:c r="A40" s="12" t="n"/>
      <x:c r="B40" s="12" t="n"/>
      <x:c r="C40" s="12" t="n"/>
      <x:c r="D40" s="12" t="n"/>
      <x:c r="E40" s="12" t="n"/>
      <x:c r="F40" s="14" t="n"/>
      <x:c r="G40" s="14" t="n"/>
      <x:c r="H40" s="15">
        <x:f>IF(AND($F40="",$G40=""),"",MAX($F40-$G40,0))</x:f>
      </x:c>
      <x:c r="I40" s="13" t="n"/>
      <x:c r="J40" s="17">
        <x:f>IF($A40="","",IF(OR($I40="",$H40&lt;=0),"",MAX(TODAY()-$I40,0)))</x:f>
      </x:c>
      <x:c r="K40" s="17">
        <x:f>IF($A40="","",IF($H40&lt;=0,"已回清",IF($I40="","",IF($J40=0,"未到期",IF($J40&lt;=30,"1-30天",IF($J40&lt;=60,"31-60天",IF($J40&lt;=90,"61-90天","90天以上")))))))</x:f>
      </x:c>
      <x:c r="L40" s="14" t="n"/>
      <x:c r="M40" s="14" t="n"/>
      <x:c r="N40" s="16">
        <x:f>IF($A40="","",IF($F40="","",IF($F40=0,0,$G40/$F40)))</x:f>
      </x:c>
      <x:c r="O40" s="12" t="n"/>
      <x:c r="P40" s="16">
        <x:f>IF(OR($B40="",$H40=""),"",IFERROR($H40/VLOOKUP($B40,Customers!$A$2:$J$201,10,FALSE),""))</x:f>
      </x:c>
      <x:c r="Q40" s="17">
        <x:f>IF($A40="","",IF($H40&lt;=0,"已回清",IF($J40="","",IF($J40&gt;90,"坏账风险",IF($J40&gt;60,"高风险",IF($J40&gt;30,"中风险",IF($J40&gt;0,"预警","正常")))))))</x:f>
      </x:c>
      <x:c r="R40" s="17">
        <x:f>IF($A40="","",IF($Q40="","",IF($Q40="坏账风险","法务介入 / 准备诉讼",IF($Q40="高风险","上门沟通 / 部门经理介入",IF($Q40="中风险","电话催收 / 周度跟进",IF($Q40="预警","提醒客户按期回款","持续跟踪"))))))</x:f>
      </x:c>
      <x:c r="S40" s="13" t="n"/>
      <x:c r="T40" s="12" t="n"/>
      <x:c r="U40" s="17">
        <x:f>IF($A40="","",IF($H40&lt;=0,0,IF($J40="",0,$J40*100000000+$H40*100+ROW()/1000)))</x:f>
      </x:c>
    </x:row>
    <x:row r="41">
      <x:c r="A41" s="12" t="n"/>
      <x:c r="B41" s="12" t="n"/>
      <x:c r="C41" s="12" t="n"/>
      <x:c r="D41" s="12" t="n"/>
      <x:c r="E41" s="12" t="n"/>
      <x:c r="F41" s="14" t="n"/>
      <x:c r="G41" s="14" t="n"/>
      <x:c r="H41" s="15">
        <x:f>IF(AND($F41="",$G41=""),"",MAX($F41-$G41,0))</x:f>
      </x:c>
      <x:c r="I41" s="13" t="n"/>
      <x:c r="J41" s="17">
        <x:f>IF($A41="","",IF(OR($I41="",$H41&lt;=0),"",MAX(TODAY()-$I41,0)))</x:f>
      </x:c>
      <x:c r="K41" s="17">
        <x:f>IF($A41="","",IF($H41&lt;=0,"已回清",IF($I41="","",IF($J41=0,"未到期",IF($J41&lt;=30,"1-30天",IF($J41&lt;=60,"31-60天",IF($J41&lt;=90,"61-90天","90天以上")))))))</x:f>
      </x:c>
      <x:c r="L41" s="14" t="n"/>
      <x:c r="M41" s="14" t="n"/>
      <x:c r="N41" s="16">
        <x:f>IF($A41="","",IF($F41="","",IF($F41=0,0,$G41/$F41)))</x:f>
      </x:c>
      <x:c r="O41" s="12" t="n"/>
      <x:c r="P41" s="16">
        <x:f>IF(OR($B41="",$H41=""),"",IFERROR($H41/VLOOKUP($B41,Customers!$A$2:$J$201,10,FALSE),""))</x:f>
      </x:c>
      <x:c r="Q41" s="17">
        <x:f>IF($A41="","",IF($H41&lt;=0,"已回清",IF($J41="","",IF($J41&gt;90,"坏账风险",IF($J41&gt;60,"高风险",IF($J41&gt;30,"中风险",IF($J41&gt;0,"预警","正常")))))))</x:f>
      </x:c>
      <x:c r="R41" s="17">
        <x:f>IF($A41="","",IF($Q41="","",IF($Q41="坏账风险","法务介入 / 准备诉讼",IF($Q41="高风险","上门沟通 / 部门经理介入",IF($Q41="中风险","电话催收 / 周度跟进",IF($Q41="预警","提醒客户按期回款","持续跟踪"))))))</x:f>
      </x:c>
      <x:c r="S41" s="13" t="n"/>
      <x:c r="T41" s="12" t="n"/>
      <x:c r="U41" s="17">
        <x:f>IF($A41="","",IF($H41&lt;=0,0,IF($J41="",0,$J41*100000000+$H41*100+ROW()/1000)))</x:f>
      </x:c>
    </x:row>
    <x:row r="42">
      <x:c r="A42" s="12" t="n"/>
      <x:c r="B42" s="12" t="n"/>
      <x:c r="C42" s="12" t="n"/>
      <x:c r="D42" s="12" t="n"/>
      <x:c r="E42" s="12" t="n"/>
      <x:c r="F42" s="14" t="n"/>
      <x:c r="G42" s="14" t="n"/>
      <x:c r="H42" s="15">
        <x:f>IF(AND($F42="",$G42=""),"",MAX($F42-$G42,0))</x:f>
      </x:c>
      <x:c r="I42" s="13" t="n"/>
      <x:c r="J42" s="17">
        <x:f>IF($A42="","",IF(OR($I42="",$H42&lt;=0),"",MAX(TODAY()-$I42,0)))</x:f>
      </x:c>
      <x:c r="K42" s="17">
        <x:f>IF($A42="","",IF($H42&lt;=0,"已回清",IF($I42="","",IF($J42=0,"未到期",IF($J42&lt;=30,"1-30天",IF($J42&lt;=60,"31-60天",IF($J42&lt;=90,"61-90天","90天以上")))))))</x:f>
      </x:c>
      <x:c r="L42" s="14" t="n"/>
      <x:c r="M42" s="14" t="n"/>
      <x:c r="N42" s="16">
        <x:f>IF($A42="","",IF($F42="","",IF($F42=0,0,$G42/$F42)))</x:f>
      </x:c>
      <x:c r="O42" s="12" t="n"/>
      <x:c r="P42" s="16">
        <x:f>IF(OR($B42="",$H42=""),"",IFERROR($H42/VLOOKUP($B42,Customers!$A$2:$J$201,10,FALSE),""))</x:f>
      </x:c>
      <x:c r="Q42" s="17">
        <x:f>IF($A42="","",IF($H42&lt;=0,"已回清",IF($J42="","",IF($J42&gt;90,"坏账风险",IF($J42&gt;60,"高风险",IF($J42&gt;30,"中风险",IF($J42&gt;0,"预警","正常")))))))</x:f>
      </x:c>
      <x:c r="R42" s="17">
        <x:f>IF($A42="","",IF($Q42="","",IF($Q42="坏账风险","法务介入 / 准备诉讼",IF($Q42="高风险","上门沟通 / 部门经理介入",IF($Q42="中风险","电话催收 / 周度跟进",IF($Q42="预警","提醒客户按期回款","持续跟踪"))))))</x:f>
      </x:c>
      <x:c r="S42" s="13" t="n"/>
      <x:c r="T42" s="12" t="n"/>
      <x:c r="U42" s="17">
        <x:f>IF($A42="","",IF($H42&lt;=0,0,IF($J42="",0,$J42*100000000+$H42*100+ROW()/1000)))</x:f>
      </x:c>
    </x:row>
    <x:row r="43">
      <x:c r="A43" s="12" t="n"/>
      <x:c r="B43" s="12" t="n"/>
      <x:c r="C43" s="12" t="n"/>
      <x:c r="D43" s="12" t="n"/>
      <x:c r="E43" s="12" t="n"/>
      <x:c r="F43" s="14" t="n"/>
      <x:c r="G43" s="14" t="n"/>
      <x:c r="H43" s="15">
        <x:f>IF(AND($F43="",$G43=""),"",MAX($F43-$G43,0))</x:f>
      </x:c>
      <x:c r="I43" s="13" t="n"/>
      <x:c r="J43" s="17">
        <x:f>IF($A43="","",IF(OR($I43="",$H43&lt;=0),"",MAX(TODAY()-$I43,0)))</x:f>
      </x:c>
      <x:c r="K43" s="17">
        <x:f>IF($A43="","",IF($H43&lt;=0,"已回清",IF($I43="","",IF($J43=0,"未到期",IF($J43&lt;=30,"1-30天",IF($J43&lt;=60,"31-60天",IF($J43&lt;=90,"61-90天","90天以上")))))))</x:f>
      </x:c>
      <x:c r="L43" s="14" t="n"/>
      <x:c r="M43" s="14" t="n"/>
      <x:c r="N43" s="16">
        <x:f>IF($A43="","",IF($F43="","",IF($F43=0,0,$G43/$F43)))</x:f>
      </x:c>
      <x:c r="O43" s="12" t="n"/>
      <x:c r="P43" s="16">
        <x:f>IF(OR($B43="",$H43=""),"",IFERROR($H43/VLOOKUP($B43,Customers!$A$2:$J$201,10,FALSE),""))</x:f>
      </x:c>
      <x:c r="Q43" s="17">
        <x:f>IF($A43="","",IF($H43&lt;=0,"已回清",IF($J43="","",IF($J43&gt;90,"坏账风险",IF($J43&gt;60,"高风险",IF($J43&gt;30,"中风险",IF($J43&gt;0,"预警","正常")))))))</x:f>
      </x:c>
      <x:c r="R43" s="17">
        <x:f>IF($A43="","",IF($Q43="","",IF($Q43="坏账风险","法务介入 / 准备诉讼",IF($Q43="高风险","上门沟通 / 部门经理介入",IF($Q43="中风险","电话催收 / 周度跟进",IF($Q43="预警","提醒客户按期回款","持续跟踪"))))))</x:f>
      </x:c>
      <x:c r="S43" s="13" t="n"/>
      <x:c r="T43" s="12" t="n"/>
      <x:c r="U43" s="17">
        <x:f>IF($A43="","",IF($H43&lt;=0,0,IF($J43="",0,$J43*100000000+$H43*100+ROW()/1000)))</x:f>
      </x:c>
    </x:row>
    <x:row r="44">
      <x:c r="A44" s="12" t="n"/>
      <x:c r="B44" s="12" t="n"/>
      <x:c r="C44" s="12" t="n"/>
      <x:c r="D44" s="12" t="n"/>
      <x:c r="E44" s="12" t="n"/>
      <x:c r="F44" s="14" t="n"/>
      <x:c r="G44" s="14" t="n"/>
      <x:c r="H44" s="15">
        <x:f>IF(AND($F44="",$G44=""),"",MAX($F44-$G44,0))</x:f>
      </x:c>
      <x:c r="I44" s="13" t="n"/>
      <x:c r="J44" s="17">
        <x:f>IF($A44="","",IF(OR($I44="",$H44&lt;=0),"",MAX(TODAY()-$I44,0)))</x:f>
      </x:c>
      <x:c r="K44" s="17">
        <x:f>IF($A44="","",IF($H44&lt;=0,"已回清",IF($I44="","",IF($J44=0,"未到期",IF($J44&lt;=30,"1-30天",IF($J44&lt;=60,"31-60天",IF($J44&lt;=90,"61-90天","90天以上")))))))</x:f>
      </x:c>
      <x:c r="L44" s="14" t="n"/>
      <x:c r="M44" s="14" t="n"/>
      <x:c r="N44" s="16">
        <x:f>IF($A44="","",IF($F44="","",IF($F44=0,0,$G44/$F44)))</x:f>
      </x:c>
      <x:c r="O44" s="12" t="n"/>
      <x:c r="P44" s="16">
        <x:f>IF(OR($B44="",$H44=""),"",IFERROR($H44/VLOOKUP($B44,Customers!$A$2:$J$201,10,FALSE),""))</x:f>
      </x:c>
      <x:c r="Q44" s="17">
        <x:f>IF($A44="","",IF($H44&lt;=0,"已回清",IF($J44="","",IF($J44&gt;90,"坏账风险",IF($J44&gt;60,"高风险",IF($J44&gt;30,"中风险",IF($J44&gt;0,"预警","正常")))))))</x:f>
      </x:c>
      <x:c r="R44" s="17">
        <x:f>IF($A44="","",IF($Q44="","",IF($Q44="坏账风险","法务介入 / 准备诉讼",IF($Q44="高风险","上门沟通 / 部门经理介入",IF($Q44="中风险","电话催收 / 周度跟进",IF($Q44="预警","提醒客户按期回款","持续跟踪"))))))</x:f>
      </x:c>
      <x:c r="S44" s="13" t="n"/>
      <x:c r="T44" s="12" t="n"/>
      <x:c r="U44" s="17">
        <x:f>IF($A44="","",IF($H44&lt;=0,0,IF($J44="",0,$J44*100000000+$H44*100+ROW()/1000)))</x:f>
      </x:c>
    </x:row>
    <x:row r="45">
      <x:c r="A45" s="12" t="n"/>
      <x:c r="B45" s="12" t="n"/>
      <x:c r="C45" s="12" t="n"/>
      <x:c r="D45" s="12" t="n"/>
      <x:c r="E45" s="12" t="n"/>
      <x:c r="F45" s="14" t="n"/>
      <x:c r="G45" s="14" t="n"/>
      <x:c r="H45" s="15">
        <x:f>IF(AND($F45="",$G45=""),"",MAX($F45-$G45,0))</x:f>
      </x:c>
      <x:c r="I45" s="13" t="n"/>
      <x:c r="J45" s="17">
        <x:f>IF($A45="","",IF(OR($I45="",$H45&lt;=0),"",MAX(TODAY()-$I45,0)))</x:f>
      </x:c>
      <x:c r="K45" s="17">
        <x:f>IF($A45="","",IF($H45&lt;=0,"已回清",IF($I45="","",IF($J45=0,"未到期",IF($J45&lt;=30,"1-30天",IF($J45&lt;=60,"31-60天",IF($J45&lt;=90,"61-90天","90天以上")))))))</x:f>
      </x:c>
      <x:c r="L45" s="14" t="n"/>
      <x:c r="M45" s="14" t="n"/>
      <x:c r="N45" s="16">
        <x:f>IF($A45="","",IF($F45="","",IF($F45=0,0,$G45/$F45)))</x:f>
      </x:c>
      <x:c r="O45" s="12" t="n"/>
      <x:c r="P45" s="16">
        <x:f>IF(OR($B45="",$H45=""),"",IFERROR($H45/VLOOKUP($B45,Customers!$A$2:$J$201,10,FALSE),""))</x:f>
      </x:c>
      <x:c r="Q45" s="17">
        <x:f>IF($A45="","",IF($H45&lt;=0,"已回清",IF($J45="","",IF($J45&gt;90,"坏账风险",IF($J45&gt;60,"高风险",IF($J45&gt;30,"中风险",IF($J45&gt;0,"预警","正常")))))))</x:f>
      </x:c>
      <x:c r="R45" s="17">
        <x:f>IF($A45="","",IF($Q45="","",IF($Q45="坏账风险","法务介入 / 准备诉讼",IF($Q45="高风险","上门沟通 / 部门经理介入",IF($Q45="中风险","电话催收 / 周度跟进",IF($Q45="预警","提醒客户按期回款","持续跟踪"))))))</x:f>
      </x:c>
      <x:c r="S45" s="13" t="n"/>
      <x:c r="T45" s="12" t="n"/>
      <x:c r="U45" s="17">
        <x:f>IF($A45="","",IF($H45&lt;=0,0,IF($J45="",0,$J45*100000000+$H45*100+ROW()/1000)))</x:f>
      </x:c>
    </x:row>
    <x:row r="46">
      <x:c r="A46" s="12" t="n"/>
      <x:c r="B46" s="12" t="n"/>
      <x:c r="C46" s="12" t="n"/>
      <x:c r="D46" s="12" t="n"/>
      <x:c r="E46" s="12" t="n"/>
      <x:c r="F46" s="14" t="n"/>
      <x:c r="G46" s="14" t="n"/>
      <x:c r="H46" s="15">
        <x:f>IF(AND($F46="",$G46=""),"",MAX($F46-$G46,0))</x:f>
      </x:c>
      <x:c r="I46" s="13" t="n"/>
      <x:c r="J46" s="17">
        <x:f>IF($A46="","",IF(OR($I46="",$H46&lt;=0),"",MAX(TODAY()-$I46,0)))</x:f>
      </x:c>
      <x:c r="K46" s="17">
        <x:f>IF($A46="","",IF($H46&lt;=0,"已回清",IF($I46="","",IF($J46=0,"未到期",IF($J46&lt;=30,"1-30天",IF($J46&lt;=60,"31-60天",IF($J46&lt;=90,"61-90天","90天以上")))))))</x:f>
      </x:c>
      <x:c r="L46" s="14" t="n"/>
      <x:c r="M46" s="14" t="n"/>
      <x:c r="N46" s="16">
        <x:f>IF($A46="","",IF($F46="","",IF($F46=0,0,$G46/$F46)))</x:f>
      </x:c>
      <x:c r="O46" s="12" t="n"/>
      <x:c r="P46" s="16">
        <x:f>IF(OR($B46="",$H46=""),"",IFERROR($H46/VLOOKUP($B46,Customers!$A$2:$J$201,10,FALSE),""))</x:f>
      </x:c>
      <x:c r="Q46" s="17">
        <x:f>IF($A46="","",IF($H46&lt;=0,"已回清",IF($J46="","",IF($J46&gt;90,"坏账风险",IF($J46&gt;60,"高风险",IF($J46&gt;30,"中风险",IF($J46&gt;0,"预警","正常")))))))</x:f>
      </x:c>
      <x:c r="R46" s="17">
        <x:f>IF($A46="","",IF($Q46="","",IF($Q46="坏账风险","法务介入 / 准备诉讼",IF($Q46="高风险","上门沟通 / 部门经理介入",IF($Q46="中风险","电话催收 / 周度跟进",IF($Q46="预警","提醒客户按期回款","持续跟踪"))))))</x:f>
      </x:c>
      <x:c r="S46" s="13" t="n"/>
      <x:c r="T46" s="12" t="n"/>
      <x:c r="U46" s="17">
        <x:f>IF($A46="","",IF($H46&lt;=0,0,IF($J46="",0,$J46*100000000+$H46*100+ROW()/1000)))</x:f>
      </x:c>
    </x:row>
    <x:row r="47">
      <x:c r="A47" s="12" t="n"/>
      <x:c r="B47" s="12" t="n"/>
      <x:c r="C47" s="12" t="n"/>
      <x:c r="D47" s="12" t="n"/>
      <x:c r="E47" s="12" t="n"/>
      <x:c r="F47" s="14" t="n"/>
      <x:c r="G47" s="14" t="n"/>
      <x:c r="H47" s="15">
        <x:f>IF(AND($F47="",$G47=""),"",MAX($F47-$G47,0))</x:f>
      </x:c>
      <x:c r="I47" s="13" t="n"/>
      <x:c r="J47" s="17">
        <x:f>IF($A47="","",IF(OR($I47="",$H47&lt;=0),"",MAX(TODAY()-$I47,0)))</x:f>
      </x:c>
      <x:c r="K47" s="17">
        <x:f>IF($A47="","",IF($H47&lt;=0,"已回清",IF($I47="","",IF($J47=0,"未到期",IF($J47&lt;=30,"1-30天",IF($J47&lt;=60,"31-60天",IF($J47&lt;=90,"61-90天","90天以上")))))))</x:f>
      </x:c>
      <x:c r="L47" s="14" t="n"/>
      <x:c r="M47" s="14" t="n"/>
      <x:c r="N47" s="16">
        <x:f>IF($A47="","",IF($F47="","",IF($F47=0,0,$G47/$F47)))</x:f>
      </x:c>
      <x:c r="O47" s="12" t="n"/>
      <x:c r="P47" s="16">
        <x:f>IF(OR($B47="",$H47=""),"",IFERROR($H47/VLOOKUP($B47,Customers!$A$2:$J$201,10,FALSE),""))</x:f>
      </x:c>
      <x:c r="Q47" s="17">
        <x:f>IF($A47="","",IF($H47&lt;=0,"已回清",IF($J47="","",IF($J47&gt;90,"坏账风险",IF($J47&gt;60,"高风险",IF($J47&gt;30,"中风险",IF($J47&gt;0,"预警","正常")))))))</x:f>
      </x:c>
      <x:c r="R47" s="17">
        <x:f>IF($A47="","",IF($Q47="","",IF($Q47="坏账风险","法务介入 / 准备诉讼",IF($Q47="高风险","上门沟通 / 部门经理介入",IF($Q47="中风险","电话催收 / 周度跟进",IF($Q47="预警","提醒客户按期回款","持续跟踪"))))))</x:f>
      </x:c>
      <x:c r="S47" s="13" t="n"/>
      <x:c r="T47" s="12" t="n"/>
      <x:c r="U47" s="17">
        <x:f>IF($A47="","",IF($H47&lt;=0,0,IF($J47="",0,$J47*100000000+$H47*100+ROW()/1000)))</x:f>
      </x:c>
    </x:row>
    <x:row r="48">
      <x:c r="A48" s="12" t="n"/>
      <x:c r="B48" s="12" t="n"/>
      <x:c r="C48" s="12" t="n"/>
      <x:c r="D48" s="12" t="n"/>
      <x:c r="E48" s="12" t="n"/>
      <x:c r="F48" s="14" t="n"/>
      <x:c r="G48" s="14" t="n"/>
      <x:c r="H48" s="15">
        <x:f>IF(AND($F48="",$G48=""),"",MAX($F48-$G48,0))</x:f>
      </x:c>
      <x:c r="I48" s="13" t="n"/>
      <x:c r="J48" s="17">
        <x:f>IF($A48="","",IF(OR($I48="",$H48&lt;=0),"",MAX(TODAY()-$I48,0)))</x:f>
      </x:c>
      <x:c r="K48" s="17">
        <x:f>IF($A48="","",IF($H48&lt;=0,"已回清",IF($I48="","",IF($J48=0,"未到期",IF($J48&lt;=30,"1-30天",IF($J48&lt;=60,"31-60天",IF($J48&lt;=90,"61-90天","90天以上")))))))</x:f>
      </x:c>
      <x:c r="L48" s="14" t="n"/>
      <x:c r="M48" s="14" t="n"/>
      <x:c r="N48" s="16">
        <x:f>IF($A48="","",IF($F48="","",IF($F48=0,0,$G48/$F48)))</x:f>
      </x:c>
      <x:c r="O48" s="12" t="n"/>
      <x:c r="P48" s="16">
        <x:f>IF(OR($B48="",$H48=""),"",IFERROR($H48/VLOOKUP($B48,Customers!$A$2:$J$201,10,FALSE),""))</x:f>
      </x:c>
      <x:c r="Q48" s="17">
        <x:f>IF($A48="","",IF($H48&lt;=0,"已回清",IF($J48="","",IF($J48&gt;90,"坏账风险",IF($J48&gt;60,"高风险",IF($J48&gt;30,"中风险",IF($J48&gt;0,"预警","正常")))))))</x:f>
      </x:c>
      <x:c r="R48" s="17">
        <x:f>IF($A48="","",IF($Q48="","",IF($Q48="坏账风险","法务介入 / 准备诉讼",IF($Q48="高风险","上门沟通 / 部门经理介入",IF($Q48="中风险","电话催收 / 周度跟进",IF($Q48="预警","提醒客户按期回款","持续跟踪"))))))</x:f>
      </x:c>
      <x:c r="S48" s="13" t="n"/>
      <x:c r="T48" s="12" t="n"/>
      <x:c r="U48" s="17">
        <x:f>IF($A48="","",IF($H48&lt;=0,0,IF($J48="",0,$J48*100000000+$H48*100+ROW()/1000)))</x:f>
      </x:c>
    </x:row>
    <x:row r="49">
      <x:c r="A49" s="12" t="n"/>
      <x:c r="B49" s="12" t="n"/>
      <x:c r="C49" s="12" t="n"/>
      <x:c r="D49" s="12" t="n"/>
      <x:c r="E49" s="12" t="n"/>
      <x:c r="F49" s="14" t="n"/>
      <x:c r="G49" s="14" t="n"/>
      <x:c r="H49" s="15">
        <x:f>IF(AND($F49="",$G49=""),"",MAX($F49-$G49,0))</x:f>
      </x:c>
      <x:c r="I49" s="13" t="n"/>
      <x:c r="J49" s="17">
        <x:f>IF($A49="","",IF(OR($I49="",$H49&lt;=0),"",MAX(TODAY()-$I49,0)))</x:f>
      </x:c>
      <x:c r="K49" s="17">
        <x:f>IF($A49="","",IF($H49&lt;=0,"已回清",IF($I49="","",IF($J49=0,"未到期",IF($J49&lt;=30,"1-30天",IF($J49&lt;=60,"31-60天",IF($J49&lt;=90,"61-90天","90天以上")))))))</x:f>
      </x:c>
      <x:c r="L49" s="14" t="n"/>
      <x:c r="M49" s="14" t="n"/>
      <x:c r="N49" s="16">
        <x:f>IF($A49="","",IF($F49="","",IF($F49=0,0,$G49/$F49)))</x:f>
      </x:c>
      <x:c r="O49" s="12" t="n"/>
      <x:c r="P49" s="16">
        <x:f>IF(OR($B49="",$H49=""),"",IFERROR($H49/VLOOKUP($B49,Customers!$A$2:$J$201,10,FALSE),""))</x:f>
      </x:c>
      <x:c r="Q49" s="17">
        <x:f>IF($A49="","",IF($H49&lt;=0,"已回清",IF($J49="","",IF($J49&gt;90,"坏账风险",IF($J49&gt;60,"高风险",IF($J49&gt;30,"中风险",IF($J49&gt;0,"预警","正常")))))))</x:f>
      </x:c>
      <x:c r="R49" s="17">
        <x:f>IF($A49="","",IF($Q49="","",IF($Q49="坏账风险","法务介入 / 准备诉讼",IF($Q49="高风险","上门沟通 / 部门经理介入",IF($Q49="中风险","电话催收 / 周度跟进",IF($Q49="预警","提醒客户按期回款","持续跟踪"))))))</x:f>
      </x:c>
      <x:c r="S49" s="13" t="n"/>
      <x:c r="T49" s="12" t="n"/>
      <x:c r="U49" s="17">
        <x:f>IF($A49="","",IF($H49&lt;=0,0,IF($J49="",0,$J49*100000000+$H49*100+ROW()/1000)))</x:f>
      </x:c>
    </x:row>
    <x:row r="50">
      <x:c r="A50" s="12" t="n"/>
      <x:c r="B50" s="12" t="n"/>
      <x:c r="C50" s="12" t="n"/>
      <x:c r="D50" s="12" t="n"/>
      <x:c r="E50" s="12" t="n"/>
      <x:c r="F50" s="14" t="n"/>
      <x:c r="G50" s="14" t="n"/>
      <x:c r="H50" s="15">
        <x:f>IF(AND($F50="",$G50=""),"",MAX($F50-$G50,0))</x:f>
      </x:c>
      <x:c r="I50" s="13" t="n"/>
      <x:c r="J50" s="17">
        <x:f>IF($A50="","",IF(OR($I50="",$H50&lt;=0),"",MAX(TODAY()-$I50,0)))</x:f>
      </x:c>
      <x:c r="K50" s="17">
        <x:f>IF($A50="","",IF($H50&lt;=0,"已回清",IF($I50="","",IF($J50=0,"未到期",IF($J50&lt;=30,"1-30天",IF($J50&lt;=60,"31-60天",IF($J50&lt;=90,"61-90天","90天以上")))))))</x:f>
      </x:c>
      <x:c r="L50" s="14" t="n"/>
      <x:c r="M50" s="14" t="n"/>
      <x:c r="N50" s="16">
        <x:f>IF($A50="","",IF($F50="","",IF($F50=0,0,$G50/$F50)))</x:f>
      </x:c>
      <x:c r="O50" s="12" t="n"/>
      <x:c r="P50" s="16">
        <x:f>IF(OR($B50="",$H50=""),"",IFERROR($H50/VLOOKUP($B50,Customers!$A$2:$J$201,10,FALSE),""))</x:f>
      </x:c>
      <x:c r="Q50" s="17">
        <x:f>IF($A50="","",IF($H50&lt;=0,"已回清",IF($J50="","",IF($J50&gt;90,"坏账风险",IF($J50&gt;60,"高风险",IF($J50&gt;30,"中风险",IF($J50&gt;0,"预警","正常")))))))</x:f>
      </x:c>
      <x:c r="R50" s="17">
        <x:f>IF($A50="","",IF($Q50="","",IF($Q50="坏账风险","法务介入 / 准备诉讼",IF($Q50="高风险","上门沟通 / 部门经理介入",IF($Q50="中风险","电话催收 / 周度跟进",IF($Q50="预警","提醒客户按期回款","持续跟踪"))))))</x:f>
      </x:c>
      <x:c r="S50" s="13" t="n"/>
      <x:c r="T50" s="12" t="n"/>
      <x:c r="U50" s="17">
        <x:f>IF($A50="","",IF($H50&lt;=0,0,IF($J50="",0,$J50*100000000+$H50*100+ROW()/1000)))</x:f>
      </x:c>
    </x:row>
    <x:row r="51">
      <x:c r="A51" s="12" t="n"/>
      <x:c r="B51" s="12" t="n"/>
      <x:c r="C51" s="12" t="n"/>
      <x:c r="D51" s="12" t="n"/>
      <x:c r="E51" s="12" t="n"/>
      <x:c r="F51" s="14" t="n"/>
      <x:c r="G51" s="14" t="n"/>
      <x:c r="H51" s="15">
        <x:f>IF(AND($F51="",$G51=""),"",MAX($F51-$G51,0))</x:f>
      </x:c>
      <x:c r="I51" s="13" t="n"/>
      <x:c r="J51" s="17">
        <x:f>IF($A51="","",IF(OR($I51="",$H51&lt;=0),"",MAX(TODAY()-$I51,0)))</x:f>
      </x:c>
      <x:c r="K51" s="17">
        <x:f>IF($A51="","",IF($H51&lt;=0,"已回清",IF($I51="","",IF($J51=0,"未到期",IF($J51&lt;=30,"1-30天",IF($J51&lt;=60,"31-60天",IF($J51&lt;=90,"61-90天","90天以上")))))))</x:f>
      </x:c>
      <x:c r="L51" s="14" t="n"/>
      <x:c r="M51" s="14" t="n"/>
      <x:c r="N51" s="16">
        <x:f>IF($A51="","",IF($F51="","",IF($F51=0,0,$G51/$F51)))</x:f>
      </x:c>
      <x:c r="O51" s="12" t="n"/>
      <x:c r="P51" s="16">
        <x:f>IF(OR($B51="",$H51=""),"",IFERROR($H51/VLOOKUP($B51,Customers!$A$2:$J$201,10,FALSE),""))</x:f>
      </x:c>
      <x:c r="Q51" s="17">
        <x:f>IF($A51="","",IF($H51&lt;=0,"已回清",IF($J51="","",IF($J51&gt;90,"坏账风险",IF($J51&gt;60,"高风险",IF($J51&gt;30,"中风险",IF($J51&gt;0,"预警","正常")))))))</x:f>
      </x:c>
      <x:c r="R51" s="17">
        <x:f>IF($A51="","",IF($Q51="","",IF($Q51="坏账风险","法务介入 / 准备诉讼",IF($Q51="高风险","上门沟通 / 部门经理介入",IF($Q51="中风险","电话催收 / 周度跟进",IF($Q51="预警","提醒客户按期回款","持续跟踪"))))))</x:f>
      </x:c>
      <x:c r="S51" s="13" t="n"/>
      <x:c r="T51" s="12" t="n"/>
      <x:c r="U51" s="17">
        <x:f>IF($A51="","",IF($H51&lt;=0,0,IF($J51="",0,$J51*100000000+$H51*100+ROW()/1000)))</x:f>
      </x:c>
    </x:row>
    <x:row r="52">
      <x:c r="A52" s="12" t="n"/>
      <x:c r="B52" s="12" t="n"/>
      <x:c r="C52" s="12" t="n"/>
      <x:c r="D52" s="12" t="n"/>
      <x:c r="E52" s="12" t="n"/>
      <x:c r="F52" s="14" t="n"/>
      <x:c r="G52" s="14" t="n"/>
      <x:c r="H52" s="15">
        <x:f>IF(AND($F52="",$G52=""),"",MAX($F52-$G52,0))</x:f>
      </x:c>
      <x:c r="I52" s="13" t="n"/>
      <x:c r="J52" s="17">
        <x:f>IF($A52="","",IF(OR($I52="",$H52&lt;=0),"",MAX(TODAY()-$I52,0)))</x:f>
      </x:c>
      <x:c r="K52" s="17">
        <x:f>IF($A52="","",IF($H52&lt;=0,"已回清",IF($I52="","",IF($J52=0,"未到期",IF($J52&lt;=30,"1-30天",IF($J52&lt;=60,"31-60天",IF($J52&lt;=90,"61-90天","90天以上")))))))</x:f>
      </x:c>
      <x:c r="L52" s="14" t="n"/>
      <x:c r="M52" s="14" t="n"/>
      <x:c r="N52" s="16">
        <x:f>IF($A52="","",IF($F52="","",IF($F52=0,0,$G52/$F52)))</x:f>
      </x:c>
      <x:c r="O52" s="12" t="n"/>
      <x:c r="P52" s="16">
        <x:f>IF(OR($B52="",$H52=""),"",IFERROR($H52/VLOOKUP($B52,Customers!$A$2:$J$201,10,FALSE),""))</x:f>
      </x:c>
      <x:c r="Q52" s="17">
        <x:f>IF($A52="","",IF($H52&lt;=0,"已回清",IF($J52="","",IF($J52&gt;90,"坏账风险",IF($J52&gt;60,"高风险",IF($J52&gt;30,"中风险",IF($J52&gt;0,"预警","正常")))))))</x:f>
      </x:c>
      <x:c r="R52" s="17">
        <x:f>IF($A52="","",IF($Q52="","",IF($Q52="坏账风险","法务介入 / 准备诉讼",IF($Q52="高风险","上门沟通 / 部门经理介入",IF($Q52="中风险","电话催收 / 周度跟进",IF($Q52="预警","提醒客户按期回款","持续跟踪"))))))</x:f>
      </x:c>
      <x:c r="S52" s="13" t="n"/>
      <x:c r="T52" s="12" t="n"/>
      <x:c r="U52" s="17">
        <x:f>IF($A52="","",IF($H52&lt;=0,0,IF($J52="",0,$J52*100000000+$H52*100+ROW()/1000)))</x:f>
      </x:c>
    </x:row>
    <x:row r="53">
      <x:c r="A53" s="12" t="n"/>
      <x:c r="B53" s="12" t="n"/>
      <x:c r="C53" s="12" t="n"/>
      <x:c r="D53" s="12" t="n"/>
      <x:c r="E53" s="12" t="n"/>
      <x:c r="F53" s="14" t="n"/>
      <x:c r="G53" s="14" t="n"/>
      <x:c r="H53" s="15">
        <x:f>IF(AND($F53="",$G53=""),"",MAX($F53-$G53,0))</x:f>
      </x:c>
      <x:c r="I53" s="13" t="n"/>
      <x:c r="J53" s="17">
        <x:f>IF($A53="","",IF(OR($I53="",$H53&lt;=0),"",MAX(TODAY()-$I53,0)))</x:f>
      </x:c>
      <x:c r="K53" s="17">
        <x:f>IF($A53="","",IF($H53&lt;=0,"已回清",IF($I53="","",IF($J53=0,"未到期",IF($J53&lt;=30,"1-30天",IF($J53&lt;=60,"31-60天",IF($J53&lt;=90,"61-90天","90天以上")))))))</x:f>
      </x:c>
      <x:c r="L53" s="14" t="n"/>
      <x:c r="M53" s="14" t="n"/>
      <x:c r="N53" s="16">
        <x:f>IF($A53="","",IF($F53="","",IF($F53=0,0,$G53/$F53)))</x:f>
      </x:c>
      <x:c r="O53" s="12" t="n"/>
      <x:c r="P53" s="16">
        <x:f>IF(OR($B53="",$H53=""),"",IFERROR($H53/VLOOKUP($B53,Customers!$A$2:$J$201,10,FALSE),""))</x:f>
      </x:c>
      <x:c r="Q53" s="17">
        <x:f>IF($A53="","",IF($H53&lt;=0,"已回清",IF($J53="","",IF($J53&gt;90,"坏账风险",IF($J53&gt;60,"高风险",IF($J53&gt;30,"中风险",IF($J53&gt;0,"预警","正常")))))))</x:f>
      </x:c>
      <x:c r="R53" s="17">
        <x:f>IF($A53="","",IF($Q53="","",IF($Q53="坏账风险","法务介入 / 准备诉讼",IF($Q53="高风险","上门沟通 / 部门经理介入",IF($Q53="中风险","电话催收 / 周度跟进",IF($Q53="预警","提醒客户按期回款","持续跟踪"))))))</x:f>
      </x:c>
      <x:c r="S53" s="13" t="n"/>
      <x:c r="T53" s="12" t="n"/>
      <x:c r="U53" s="17">
        <x:f>IF($A53="","",IF($H53&lt;=0,0,IF($J53="",0,$J53*100000000+$H53*100+ROW()/1000)))</x:f>
      </x:c>
    </x:row>
    <x:row r="54">
      <x:c r="A54" s="12" t="n"/>
      <x:c r="B54" s="12" t="n"/>
      <x:c r="C54" s="12" t="n"/>
      <x:c r="D54" s="12" t="n"/>
      <x:c r="E54" s="12" t="n"/>
      <x:c r="F54" s="14" t="n"/>
      <x:c r="G54" s="14" t="n"/>
      <x:c r="H54" s="15">
        <x:f>IF(AND($F54="",$G54=""),"",MAX($F54-$G54,0))</x:f>
      </x:c>
      <x:c r="I54" s="13" t="n"/>
      <x:c r="J54" s="17">
        <x:f>IF($A54="","",IF(OR($I54="",$H54&lt;=0),"",MAX(TODAY()-$I54,0)))</x:f>
      </x:c>
      <x:c r="K54" s="17">
        <x:f>IF($A54="","",IF($H54&lt;=0,"已回清",IF($I54="","",IF($J54=0,"未到期",IF($J54&lt;=30,"1-30天",IF($J54&lt;=60,"31-60天",IF($J54&lt;=90,"61-90天","90天以上")))))))</x:f>
      </x:c>
      <x:c r="L54" s="14" t="n"/>
      <x:c r="M54" s="14" t="n"/>
      <x:c r="N54" s="16">
        <x:f>IF($A54="","",IF($F54="","",IF($F54=0,0,$G54/$F54)))</x:f>
      </x:c>
      <x:c r="O54" s="12" t="n"/>
      <x:c r="P54" s="16">
        <x:f>IF(OR($B54="",$H54=""),"",IFERROR($H54/VLOOKUP($B54,Customers!$A$2:$J$201,10,FALSE),""))</x:f>
      </x:c>
      <x:c r="Q54" s="17">
        <x:f>IF($A54="","",IF($H54&lt;=0,"已回清",IF($J54="","",IF($J54&gt;90,"坏账风险",IF($J54&gt;60,"高风险",IF($J54&gt;30,"中风险",IF($J54&gt;0,"预警","正常")))))))</x:f>
      </x:c>
      <x:c r="R54" s="17">
        <x:f>IF($A54="","",IF($Q54="","",IF($Q54="坏账风险","法务介入 / 准备诉讼",IF($Q54="高风险","上门沟通 / 部门经理介入",IF($Q54="中风险","电话催收 / 周度跟进",IF($Q54="预警","提醒客户按期回款","持续跟踪"))))))</x:f>
      </x:c>
      <x:c r="S54" s="13" t="n"/>
      <x:c r="T54" s="12" t="n"/>
      <x:c r="U54" s="17">
        <x:f>IF($A54="","",IF($H54&lt;=0,0,IF($J54="",0,$J54*100000000+$H54*100+ROW()/1000)))</x:f>
      </x:c>
    </x:row>
    <x:row r="55">
      <x:c r="A55" s="12" t="n"/>
      <x:c r="B55" s="12" t="n"/>
      <x:c r="C55" s="12" t="n"/>
      <x:c r="D55" s="12" t="n"/>
      <x:c r="E55" s="12" t="n"/>
      <x:c r="F55" s="14" t="n"/>
      <x:c r="G55" s="14" t="n"/>
      <x:c r="H55" s="15">
        <x:f>IF(AND($F55="",$G55=""),"",MAX($F55-$G55,0))</x:f>
      </x:c>
      <x:c r="I55" s="13" t="n"/>
      <x:c r="J55" s="17">
        <x:f>IF($A55="","",IF(OR($I55="",$H55&lt;=0),"",MAX(TODAY()-$I55,0)))</x:f>
      </x:c>
      <x:c r="K55" s="17">
        <x:f>IF($A55="","",IF($H55&lt;=0,"已回清",IF($I55="","",IF($J55=0,"未到期",IF($J55&lt;=30,"1-30天",IF($J55&lt;=60,"31-60天",IF($J55&lt;=90,"61-90天","90天以上")))))))</x:f>
      </x:c>
      <x:c r="L55" s="14" t="n"/>
      <x:c r="M55" s="14" t="n"/>
      <x:c r="N55" s="16">
        <x:f>IF($A55="","",IF($F55="","",IF($F55=0,0,$G55/$F55)))</x:f>
      </x:c>
      <x:c r="O55" s="12" t="n"/>
      <x:c r="P55" s="16">
        <x:f>IF(OR($B55="",$H55=""),"",IFERROR($H55/VLOOKUP($B55,Customers!$A$2:$J$201,10,FALSE),""))</x:f>
      </x:c>
      <x:c r="Q55" s="17">
        <x:f>IF($A55="","",IF($H55&lt;=0,"已回清",IF($J55="","",IF($J55&gt;90,"坏账风险",IF($J55&gt;60,"高风险",IF($J55&gt;30,"中风险",IF($J55&gt;0,"预警","正常")))))))</x:f>
      </x:c>
      <x:c r="R55" s="17">
        <x:f>IF($A55="","",IF($Q55="","",IF($Q55="坏账风险","法务介入 / 准备诉讼",IF($Q55="高风险","上门沟通 / 部门经理介入",IF($Q55="中风险","电话催收 / 周度跟进",IF($Q55="预警","提醒客户按期回款","持续跟踪"))))))</x:f>
      </x:c>
      <x:c r="S55" s="13" t="n"/>
      <x:c r="T55" s="12" t="n"/>
      <x:c r="U55" s="17">
        <x:f>IF($A55="","",IF($H55&lt;=0,0,IF($J55="",0,$J55*100000000+$H55*100+ROW()/1000)))</x:f>
      </x:c>
    </x:row>
    <x:row r="56">
      <x:c r="A56" s="12" t="n"/>
      <x:c r="B56" s="12" t="n"/>
      <x:c r="C56" s="12" t="n"/>
      <x:c r="D56" s="12" t="n"/>
      <x:c r="E56" s="12" t="n"/>
      <x:c r="F56" s="14" t="n"/>
      <x:c r="G56" s="14" t="n"/>
      <x:c r="H56" s="15">
        <x:f>IF(AND($F56="",$G56=""),"",MAX($F56-$G56,0))</x:f>
      </x:c>
      <x:c r="I56" s="13" t="n"/>
      <x:c r="J56" s="17">
        <x:f>IF($A56="","",IF(OR($I56="",$H56&lt;=0),"",MAX(TODAY()-$I56,0)))</x:f>
      </x:c>
      <x:c r="K56" s="17">
        <x:f>IF($A56="","",IF($H56&lt;=0,"已回清",IF($I56="","",IF($J56=0,"未到期",IF($J56&lt;=30,"1-30天",IF($J56&lt;=60,"31-60天",IF($J56&lt;=90,"61-90天","90天以上")))))))</x:f>
      </x:c>
      <x:c r="L56" s="14" t="n"/>
      <x:c r="M56" s="14" t="n"/>
      <x:c r="N56" s="16">
        <x:f>IF($A56="","",IF($F56="","",IF($F56=0,0,$G56/$F56)))</x:f>
      </x:c>
      <x:c r="O56" s="12" t="n"/>
      <x:c r="P56" s="16">
        <x:f>IF(OR($B56="",$H56=""),"",IFERROR($H56/VLOOKUP($B56,Customers!$A$2:$J$201,10,FALSE),""))</x:f>
      </x:c>
      <x:c r="Q56" s="17">
        <x:f>IF($A56="","",IF($H56&lt;=0,"已回清",IF($J56="","",IF($J56&gt;90,"坏账风险",IF($J56&gt;60,"高风险",IF($J56&gt;30,"中风险",IF($J56&gt;0,"预警","正常")))))))</x:f>
      </x:c>
      <x:c r="R56" s="17">
        <x:f>IF($A56="","",IF($Q56="","",IF($Q56="坏账风险","法务介入 / 准备诉讼",IF($Q56="高风险","上门沟通 / 部门经理介入",IF($Q56="中风险","电话催收 / 周度跟进",IF($Q56="预警","提醒客户按期回款","持续跟踪"))))))</x:f>
      </x:c>
      <x:c r="S56" s="13" t="n"/>
      <x:c r="T56" s="12" t="n"/>
      <x:c r="U56" s="17">
        <x:f>IF($A56="","",IF($H56&lt;=0,0,IF($J56="",0,$J56*100000000+$H56*100+ROW()/1000)))</x:f>
      </x:c>
    </x:row>
    <x:row r="57">
      <x:c r="A57" s="12" t="n"/>
      <x:c r="B57" s="12" t="n"/>
      <x:c r="C57" s="12" t="n"/>
      <x:c r="D57" s="12" t="n"/>
      <x:c r="E57" s="12" t="n"/>
      <x:c r="F57" s="14" t="n"/>
      <x:c r="G57" s="14" t="n"/>
      <x:c r="H57" s="15">
        <x:f>IF(AND($F57="",$G57=""),"",MAX($F57-$G57,0))</x:f>
      </x:c>
      <x:c r="I57" s="13" t="n"/>
      <x:c r="J57" s="17">
        <x:f>IF($A57="","",IF(OR($I57="",$H57&lt;=0),"",MAX(TODAY()-$I57,0)))</x:f>
      </x:c>
      <x:c r="K57" s="17">
        <x:f>IF($A57="","",IF($H57&lt;=0,"已回清",IF($I57="","",IF($J57=0,"未到期",IF($J57&lt;=30,"1-30天",IF($J57&lt;=60,"31-60天",IF($J57&lt;=90,"61-90天","90天以上")))))))</x:f>
      </x:c>
      <x:c r="L57" s="14" t="n"/>
      <x:c r="M57" s="14" t="n"/>
      <x:c r="N57" s="16">
        <x:f>IF($A57="","",IF($F57="","",IF($F57=0,0,$G57/$F57)))</x:f>
      </x:c>
      <x:c r="O57" s="12" t="n"/>
      <x:c r="P57" s="16">
        <x:f>IF(OR($B57="",$H57=""),"",IFERROR($H57/VLOOKUP($B57,Customers!$A$2:$J$201,10,FALSE),""))</x:f>
      </x:c>
      <x:c r="Q57" s="17">
        <x:f>IF($A57="","",IF($H57&lt;=0,"已回清",IF($J57="","",IF($J57&gt;90,"坏账风险",IF($J57&gt;60,"高风险",IF($J57&gt;30,"中风险",IF($J57&gt;0,"预警","正常")))))))</x:f>
      </x:c>
      <x:c r="R57" s="17">
        <x:f>IF($A57="","",IF($Q57="","",IF($Q57="坏账风险","法务介入 / 准备诉讼",IF($Q57="高风险","上门沟通 / 部门经理介入",IF($Q57="中风险","电话催收 / 周度跟进",IF($Q57="预警","提醒客户按期回款","持续跟踪"))))))</x:f>
      </x:c>
      <x:c r="S57" s="13" t="n"/>
      <x:c r="T57" s="12" t="n"/>
      <x:c r="U57" s="17">
        <x:f>IF($A57="","",IF($H57&lt;=0,0,IF($J57="",0,$J57*100000000+$H57*100+ROW()/1000)))</x:f>
      </x:c>
    </x:row>
    <x:row r="58">
      <x:c r="A58" s="12" t="n"/>
      <x:c r="B58" s="12" t="n"/>
      <x:c r="C58" s="12" t="n"/>
      <x:c r="D58" s="12" t="n"/>
      <x:c r="E58" s="12" t="n"/>
      <x:c r="F58" s="14" t="n"/>
      <x:c r="G58" s="14" t="n"/>
      <x:c r="H58" s="15">
        <x:f>IF(AND($F58="",$G58=""),"",MAX($F58-$G58,0))</x:f>
      </x:c>
      <x:c r="I58" s="13" t="n"/>
      <x:c r="J58" s="17">
        <x:f>IF($A58="","",IF(OR($I58="",$H58&lt;=0),"",MAX(TODAY()-$I58,0)))</x:f>
      </x:c>
      <x:c r="K58" s="17">
        <x:f>IF($A58="","",IF($H58&lt;=0,"已回清",IF($I58="","",IF($J58=0,"未到期",IF($J58&lt;=30,"1-30天",IF($J58&lt;=60,"31-60天",IF($J58&lt;=90,"61-90天","90天以上")))))))</x:f>
      </x:c>
      <x:c r="L58" s="14" t="n"/>
      <x:c r="M58" s="14" t="n"/>
      <x:c r="N58" s="16">
        <x:f>IF($A58="","",IF($F58="","",IF($F58=0,0,$G58/$F58)))</x:f>
      </x:c>
      <x:c r="O58" s="12" t="n"/>
      <x:c r="P58" s="16">
        <x:f>IF(OR($B58="",$H58=""),"",IFERROR($H58/VLOOKUP($B58,Customers!$A$2:$J$201,10,FALSE),""))</x:f>
      </x:c>
      <x:c r="Q58" s="17">
        <x:f>IF($A58="","",IF($H58&lt;=0,"已回清",IF($J58="","",IF($J58&gt;90,"坏账风险",IF($J58&gt;60,"高风险",IF($J58&gt;30,"中风险",IF($J58&gt;0,"预警","正常")))))))</x:f>
      </x:c>
      <x:c r="R58" s="17">
        <x:f>IF($A58="","",IF($Q58="","",IF($Q58="坏账风险","法务介入 / 准备诉讼",IF($Q58="高风险","上门沟通 / 部门经理介入",IF($Q58="中风险","电话催收 / 周度跟进",IF($Q58="预警","提醒客户按期回款","持续跟踪"))))))</x:f>
      </x:c>
      <x:c r="S58" s="13" t="n"/>
      <x:c r="T58" s="12" t="n"/>
      <x:c r="U58" s="17">
        <x:f>IF($A58="","",IF($H58&lt;=0,0,IF($J58="",0,$J58*100000000+$H58*100+ROW()/1000)))</x:f>
      </x:c>
    </x:row>
    <x:row r="59">
      <x:c r="A59" s="12" t="n"/>
      <x:c r="B59" s="12" t="n"/>
      <x:c r="C59" s="12" t="n"/>
      <x:c r="D59" s="12" t="n"/>
      <x:c r="E59" s="12" t="n"/>
      <x:c r="F59" s="14" t="n"/>
      <x:c r="G59" s="14" t="n"/>
      <x:c r="H59" s="15">
        <x:f>IF(AND($F59="",$G59=""),"",MAX($F59-$G59,0))</x:f>
      </x:c>
      <x:c r="I59" s="13" t="n"/>
      <x:c r="J59" s="17">
        <x:f>IF($A59="","",IF(OR($I59="",$H59&lt;=0),"",MAX(TODAY()-$I59,0)))</x:f>
      </x:c>
      <x:c r="K59" s="17">
        <x:f>IF($A59="","",IF($H59&lt;=0,"已回清",IF($I59="","",IF($J59=0,"未到期",IF($J59&lt;=30,"1-30天",IF($J59&lt;=60,"31-60天",IF($J59&lt;=90,"61-90天","90天以上")))))))</x:f>
      </x:c>
      <x:c r="L59" s="14" t="n"/>
      <x:c r="M59" s="14" t="n"/>
      <x:c r="N59" s="16">
        <x:f>IF($A59="","",IF($F59="","",IF($F59=0,0,$G59/$F59)))</x:f>
      </x:c>
      <x:c r="O59" s="12" t="n"/>
      <x:c r="P59" s="16">
        <x:f>IF(OR($B59="",$H59=""),"",IFERROR($H59/VLOOKUP($B59,Customers!$A$2:$J$201,10,FALSE),""))</x:f>
      </x:c>
      <x:c r="Q59" s="17">
        <x:f>IF($A59="","",IF($H59&lt;=0,"已回清",IF($J59="","",IF($J59&gt;90,"坏账风险",IF($J59&gt;60,"高风险",IF($J59&gt;30,"中风险",IF($J59&gt;0,"预警","正常")))))))</x:f>
      </x:c>
      <x:c r="R59" s="17">
        <x:f>IF($A59="","",IF($Q59="","",IF($Q59="坏账风险","法务介入 / 准备诉讼",IF($Q59="高风险","上门沟通 / 部门经理介入",IF($Q59="中风险","电话催收 / 周度跟进",IF($Q59="预警","提醒客户按期回款","持续跟踪"))))))</x:f>
      </x:c>
      <x:c r="S59" s="13" t="n"/>
      <x:c r="T59" s="12" t="n"/>
      <x:c r="U59" s="17">
        <x:f>IF($A59="","",IF($H59&lt;=0,0,IF($J59="",0,$J59*100000000+$H59*100+ROW()/1000)))</x:f>
      </x:c>
    </x:row>
    <x:row r="60">
      <x:c r="A60" s="12" t="n"/>
      <x:c r="B60" s="12" t="n"/>
      <x:c r="C60" s="12" t="n"/>
      <x:c r="D60" s="12" t="n"/>
      <x:c r="E60" s="12" t="n"/>
      <x:c r="F60" s="14" t="n"/>
      <x:c r="G60" s="14" t="n"/>
      <x:c r="H60" s="15">
        <x:f>IF(AND($F60="",$G60=""),"",MAX($F60-$G60,0))</x:f>
      </x:c>
      <x:c r="I60" s="13" t="n"/>
      <x:c r="J60" s="17">
        <x:f>IF($A60="","",IF(OR($I60="",$H60&lt;=0),"",MAX(TODAY()-$I60,0)))</x:f>
      </x:c>
      <x:c r="K60" s="17">
        <x:f>IF($A60="","",IF($H60&lt;=0,"已回清",IF($I60="","",IF($J60=0,"未到期",IF($J60&lt;=30,"1-30天",IF($J60&lt;=60,"31-60天",IF($J60&lt;=90,"61-90天","90天以上")))))))</x:f>
      </x:c>
      <x:c r="L60" s="14" t="n"/>
      <x:c r="M60" s="14" t="n"/>
      <x:c r="N60" s="16">
        <x:f>IF($A60="","",IF($F60="","",IF($F60=0,0,$G60/$F60)))</x:f>
      </x:c>
      <x:c r="O60" s="12" t="n"/>
      <x:c r="P60" s="16">
        <x:f>IF(OR($B60="",$H60=""),"",IFERROR($H60/VLOOKUP($B60,Customers!$A$2:$J$201,10,FALSE),""))</x:f>
      </x:c>
      <x:c r="Q60" s="17">
        <x:f>IF($A60="","",IF($H60&lt;=0,"已回清",IF($J60="","",IF($J60&gt;90,"坏账风险",IF($J60&gt;60,"高风险",IF($J60&gt;30,"中风险",IF($J60&gt;0,"预警","正常")))))))</x:f>
      </x:c>
      <x:c r="R60" s="17">
        <x:f>IF($A60="","",IF($Q60="","",IF($Q60="坏账风险","法务介入 / 准备诉讼",IF($Q60="高风险","上门沟通 / 部门经理介入",IF($Q60="中风险","电话催收 / 周度跟进",IF($Q60="预警","提醒客户按期回款","持续跟踪"))))))</x:f>
      </x:c>
      <x:c r="S60" s="13" t="n"/>
      <x:c r="T60" s="12" t="n"/>
      <x:c r="U60" s="17">
        <x:f>IF($A60="","",IF($H60&lt;=0,0,IF($J60="",0,$J60*100000000+$H60*100+ROW()/1000)))</x:f>
      </x:c>
    </x:row>
    <x:row r="61">
      <x:c r="A61" s="12" t="n"/>
      <x:c r="B61" s="12" t="n"/>
      <x:c r="C61" s="12" t="n"/>
      <x:c r="D61" s="12" t="n"/>
      <x:c r="E61" s="12" t="n"/>
      <x:c r="F61" s="14" t="n"/>
      <x:c r="G61" s="14" t="n"/>
      <x:c r="H61" s="15">
        <x:f>IF(AND($F61="",$G61=""),"",MAX($F61-$G61,0))</x:f>
      </x:c>
      <x:c r="I61" s="13" t="n"/>
      <x:c r="J61" s="17">
        <x:f>IF($A61="","",IF(OR($I61="",$H61&lt;=0),"",MAX(TODAY()-$I61,0)))</x:f>
      </x:c>
      <x:c r="K61" s="17">
        <x:f>IF($A61="","",IF($H61&lt;=0,"已回清",IF($I61="","",IF($J61=0,"未到期",IF($J61&lt;=30,"1-30天",IF($J61&lt;=60,"31-60天",IF($J61&lt;=90,"61-90天","90天以上")))))))</x:f>
      </x:c>
      <x:c r="L61" s="14" t="n"/>
      <x:c r="M61" s="14" t="n"/>
      <x:c r="N61" s="16">
        <x:f>IF($A61="","",IF($F61="","",IF($F61=0,0,$G61/$F61)))</x:f>
      </x:c>
      <x:c r="O61" s="12" t="n"/>
      <x:c r="P61" s="16">
        <x:f>IF(OR($B61="",$H61=""),"",IFERROR($H61/VLOOKUP($B61,Customers!$A$2:$J$201,10,FALSE),""))</x:f>
      </x:c>
      <x:c r="Q61" s="17">
        <x:f>IF($A61="","",IF($H61&lt;=0,"已回清",IF($J61="","",IF($J61&gt;90,"坏账风险",IF($J61&gt;60,"高风险",IF($J61&gt;30,"中风险",IF($J61&gt;0,"预警","正常")))))))</x:f>
      </x:c>
      <x:c r="R61" s="17">
        <x:f>IF($A61="","",IF($Q61="","",IF($Q61="坏账风险","法务介入 / 准备诉讼",IF($Q61="高风险","上门沟通 / 部门经理介入",IF($Q61="中风险","电话催收 / 周度跟进",IF($Q61="预警","提醒客户按期回款","持续跟踪"))))))</x:f>
      </x:c>
      <x:c r="S61" s="13" t="n"/>
      <x:c r="T61" s="12" t="n"/>
      <x:c r="U61" s="17">
        <x:f>IF($A61="","",IF($H61&lt;=0,0,IF($J61="",0,$J61*100000000+$H61*100+ROW()/1000)))</x:f>
      </x:c>
    </x:row>
    <x:row r="62">
      <x:c r="A62" s="12" t="n"/>
      <x:c r="B62" s="12" t="n"/>
      <x:c r="C62" s="12" t="n"/>
      <x:c r="D62" s="12" t="n"/>
      <x:c r="E62" s="12" t="n"/>
      <x:c r="F62" s="14" t="n"/>
      <x:c r="G62" s="14" t="n"/>
      <x:c r="H62" s="15">
        <x:f>IF(AND($F62="",$G62=""),"",MAX($F62-$G62,0))</x:f>
      </x:c>
      <x:c r="I62" s="13" t="n"/>
      <x:c r="J62" s="17">
        <x:f>IF($A62="","",IF(OR($I62="",$H62&lt;=0),"",MAX(TODAY()-$I62,0)))</x:f>
      </x:c>
      <x:c r="K62" s="17">
        <x:f>IF($A62="","",IF($H62&lt;=0,"已回清",IF($I62="","",IF($J62=0,"未到期",IF($J62&lt;=30,"1-30天",IF($J62&lt;=60,"31-60天",IF($J62&lt;=90,"61-90天","90天以上")))))))</x:f>
      </x:c>
      <x:c r="L62" s="14" t="n"/>
      <x:c r="M62" s="14" t="n"/>
      <x:c r="N62" s="16">
        <x:f>IF($A62="","",IF($F62="","",IF($F62=0,0,$G62/$F62)))</x:f>
      </x:c>
      <x:c r="O62" s="12" t="n"/>
      <x:c r="P62" s="16">
        <x:f>IF(OR($B62="",$H62=""),"",IFERROR($H62/VLOOKUP($B62,Customers!$A$2:$J$201,10,FALSE),""))</x:f>
      </x:c>
      <x:c r="Q62" s="17">
        <x:f>IF($A62="","",IF($H62&lt;=0,"已回清",IF($J62="","",IF($J62&gt;90,"坏账风险",IF($J62&gt;60,"高风险",IF($J62&gt;30,"中风险",IF($J62&gt;0,"预警","正常")))))))</x:f>
      </x:c>
      <x:c r="R62" s="17">
        <x:f>IF($A62="","",IF($Q62="","",IF($Q62="坏账风险","法务介入 / 准备诉讼",IF($Q62="高风险","上门沟通 / 部门经理介入",IF($Q62="中风险","电话催收 / 周度跟进",IF($Q62="预警","提醒客户按期回款","持续跟踪"))))))</x:f>
      </x:c>
      <x:c r="S62" s="13" t="n"/>
      <x:c r="T62" s="12" t="n"/>
      <x:c r="U62" s="17">
        <x:f>IF($A62="","",IF($H62&lt;=0,0,IF($J62="",0,$J62*100000000+$H62*100+ROW()/1000)))</x:f>
      </x:c>
    </x:row>
    <x:row r="63">
      <x:c r="A63" s="12" t="n"/>
      <x:c r="B63" s="12" t="n"/>
      <x:c r="C63" s="12" t="n"/>
      <x:c r="D63" s="12" t="n"/>
      <x:c r="E63" s="12" t="n"/>
      <x:c r="F63" s="14" t="n"/>
      <x:c r="G63" s="14" t="n"/>
      <x:c r="H63" s="15">
        <x:f>IF(AND($F63="",$G63=""),"",MAX($F63-$G63,0))</x:f>
      </x:c>
      <x:c r="I63" s="13" t="n"/>
      <x:c r="J63" s="17">
        <x:f>IF($A63="","",IF(OR($I63="",$H63&lt;=0),"",MAX(TODAY()-$I63,0)))</x:f>
      </x:c>
      <x:c r="K63" s="17">
        <x:f>IF($A63="","",IF($H63&lt;=0,"已回清",IF($I63="","",IF($J63=0,"未到期",IF($J63&lt;=30,"1-30天",IF($J63&lt;=60,"31-60天",IF($J63&lt;=90,"61-90天","90天以上")))))))</x:f>
      </x:c>
      <x:c r="L63" s="14" t="n"/>
      <x:c r="M63" s="14" t="n"/>
      <x:c r="N63" s="16">
        <x:f>IF($A63="","",IF($F63="","",IF($F63=0,0,$G63/$F63)))</x:f>
      </x:c>
      <x:c r="O63" s="12" t="n"/>
      <x:c r="P63" s="16">
        <x:f>IF(OR($B63="",$H63=""),"",IFERROR($H63/VLOOKUP($B63,Customers!$A$2:$J$201,10,FALSE),""))</x:f>
      </x:c>
      <x:c r="Q63" s="17">
        <x:f>IF($A63="","",IF($H63&lt;=0,"已回清",IF($J63="","",IF($J63&gt;90,"坏账风险",IF($J63&gt;60,"高风险",IF($J63&gt;30,"中风险",IF($J63&gt;0,"预警","正常")))))))</x:f>
      </x:c>
      <x:c r="R63" s="17">
        <x:f>IF($A63="","",IF($Q63="","",IF($Q63="坏账风险","法务介入 / 准备诉讼",IF($Q63="高风险","上门沟通 / 部门经理介入",IF($Q63="中风险","电话催收 / 周度跟进",IF($Q63="预警","提醒客户按期回款","持续跟踪"))))))</x:f>
      </x:c>
      <x:c r="S63" s="13" t="n"/>
      <x:c r="T63" s="12" t="n"/>
      <x:c r="U63" s="17">
        <x:f>IF($A63="","",IF($H63&lt;=0,0,IF($J63="",0,$J63*100000000+$H63*100+ROW()/1000)))</x:f>
      </x:c>
    </x:row>
    <x:row r="64">
      <x:c r="A64" s="12" t="n"/>
      <x:c r="B64" s="12" t="n"/>
      <x:c r="C64" s="12" t="n"/>
      <x:c r="D64" s="12" t="n"/>
      <x:c r="E64" s="12" t="n"/>
      <x:c r="F64" s="14" t="n"/>
      <x:c r="G64" s="14" t="n"/>
      <x:c r="H64" s="15">
        <x:f>IF(AND($F64="",$G64=""),"",MAX($F64-$G64,0))</x:f>
      </x:c>
      <x:c r="I64" s="13" t="n"/>
      <x:c r="J64" s="17">
        <x:f>IF($A64="","",IF(OR($I64="",$H64&lt;=0),"",MAX(TODAY()-$I64,0)))</x:f>
      </x:c>
      <x:c r="K64" s="17">
        <x:f>IF($A64="","",IF($H64&lt;=0,"已回清",IF($I64="","",IF($J64=0,"未到期",IF($J64&lt;=30,"1-30天",IF($J64&lt;=60,"31-60天",IF($J64&lt;=90,"61-90天","90天以上")))))))</x:f>
      </x:c>
      <x:c r="L64" s="14" t="n"/>
      <x:c r="M64" s="14" t="n"/>
      <x:c r="N64" s="16">
        <x:f>IF($A64="","",IF($F64="","",IF($F64=0,0,$G64/$F64)))</x:f>
      </x:c>
      <x:c r="O64" s="12" t="n"/>
      <x:c r="P64" s="16">
        <x:f>IF(OR($B64="",$H64=""),"",IFERROR($H64/VLOOKUP($B64,Customers!$A$2:$J$201,10,FALSE),""))</x:f>
      </x:c>
      <x:c r="Q64" s="17">
        <x:f>IF($A64="","",IF($H64&lt;=0,"已回清",IF($J64="","",IF($J64&gt;90,"坏账风险",IF($J64&gt;60,"高风险",IF($J64&gt;30,"中风险",IF($J64&gt;0,"预警","正常")))))))</x:f>
      </x:c>
      <x:c r="R64" s="17">
        <x:f>IF($A64="","",IF($Q64="","",IF($Q64="坏账风险","法务介入 / 准备诉讼",IF($Q64="高风险","上门沟通 / 部门经理介入",IF($Q64="中风险","电话催收 / 周度跟进",IF($Q64="预警","提醒客户按期回款","持续跟踪"))))))</x:f>
      </x:c>
      <x:c r="S64" s="13" t="n"/>
      <x:c r="T64" s="12" t="n"/>
      <x:c r="U64" s="17">
        <x:f>IF($A64="","",IF($H64&lt;=0,0,IF($J64="",0,$J64*100000000+$H64*100+ROW()/1000)))</x:f>
      </x:c>
    </x:row>
    <x:row r="65">
      <x:c r="A65" s="12" t="n"/>
      <x:c r="B65" s="12" t="n"/>
      <x:c r="C65" s="12" t="n"/>
      <x:c r="D65" s="12" t="n"/>
      <x:c r="E65" s="12" t="n"/>
      <x:c r="F65" s="14" t="n"/>
      <x:c r="G65" s="14" t="n"/>
      <x:c r="H65" s="15">
        <x:f>IF(AND($F65="",$G65=""),"",MAX($F65-$G65,0))</x:f>
      </x:c>
      <x:c r="I65" s="13" t="n"/>
      <x:c r="J65" s="17">
        <x:f>IF($A65="","",IF(OR($I65="",$H65&lt;=0),"",MAX(TODAY()-$I65,0)))</x:f>
      </x:c>
      <x:c r="K65" s="17">
        <x:f>IF($A65="","",IF($H65&lt;=0,"已回清",IF($I65="","",IF($J65=0,"未到期",IF($J65&lt;=30,"1-30天",IF($J65&lt;=60,"31-60天",IF($J65&lt;=90,"61-90天","90天以上")))))))</x:f>
      </x:c>
      <x:c r="L65" s="14" t="n"/>
      <x:c r="M65" s="14" t="n"/>
      <x:c r="N65" s="16">
        <x:f>IF($A65="","",IF($F65="","",IF($F65=0,0,$G65/$F65)))</x:f>
      </x:c>
      <x:c r="O65" s="12" t="n"/>
      <x:c r="P65" s="16">
        <x:f>IF(OR($B65="",$H65=""),"",IFERROR($H65/VLOOKUP($B65,Customers!$A$2:$J$201,10,FALSE),""))</x:f>
      </x:c>
      <x:c r="Q65" s="17">
        <x:f>IF($A65="","",IF($H65&lt;=0,"已回清",IF($J65="","",IF($J65&gt;90,"坏账风险",IF($J65&gt;60,"高风险",IF($J65&gt;30,"中风险",IF($J65&gt;0,"预警","正常")))))))</x:f>
      </x:c>
      <x:c r="R65" s="17">
        <x:f>IF($A65="","",IF($Q65="","",IF($Q65="坏账风险","法务介入 / 准备诉讼",IF($Q65="高风险","上门沟通 / 部门经理介入",IF($Q65="中风险","电话催收 / 周度跟进",IF($Q65="预警","提醒客户按期回款","持续跟踪"))))))</x:f>
      </x:c>
      <x:c r="S65" s="13" t="n"/>
      <x:c r="T65" s="12" t="n"/>
      <x:c r="U65" s="17">
        <x:f>IF($A65="","",IF($H65&lt;=0,0,IF($J65="",0,$J65*100000000+$H65*100+ROW()/1000)))</x:f>
      </x:c>
    </x:row>
    <x:row r="66">
      <x:c r="A66" s="12" t="n"/>
      <x:c r="B66" s="12" t="n"/>
      <x:c r="C66" s="12" t="n"/>
      <x:c r="D66" s="12" t="n"/>
      <x:c r="E66" s="12" t="n"/>
      <x:c r="F66" s="14" t="n"/>
      <x:c r="G66" s="14" t="n"/>
      <x:c r="H66" s="15">
        <x:f>IF(AND($F66="",$G66=""),"",MAX($F66-$G66,0))</x:f>
      </x:c>
      <x:c r="I66" s="13" t="n"/>
      <x:c r="J66" s="17">
        <x:f>IF($A66="","",IF(OR($I66="",$H66&lt;=0),"",MAX(TODAY()-$I66,0)))</x:f>
      </x:c>
      <x:c r="K66" s="17">
        <x:f>IF($A66="","",IF($H66&lt;=0,"已回清",IF($I66="","",IF($J66=0,"未到期",IF($J66&lt;=30,"1-30天",IF($J66&lt;=60,"31-60天",IF($J66&lt;=90,"61-90天","90天以上")))))))</x:f>
      </x:c>
      <x:c r="L66" s="14" t="n"/>
      <x:c r="M66" s="14" t="n"/>
      <x:c r="N66" s="16">
        <x:f>IF($A66="","",IF($F66="","",IF($F66=0,0,$G66/$F66)))</x:f>
      </x:c>
      <x:c r="O66" s="12" t="n"/>
      <x:c r="P66" s="16">
        <x:f>IF(OR($B66="",$H66=""),"",IFERROR($H66/VLOOKUP($B66,Customers!$A$2:$J$201,10,FALSE),""))</x:f>
      </x:c>
      <x:c r="Q66" s="17">
        <x:f>IF($A66="","",IF($H66&lt;=0,"已回清",IF($J66="","",IF($J66&gt;90,"坏账风险",IF($J66&gt;60,"高风险",IF($J66&gt;30,"中风险",IF($J66&gt;0,"预警","正常")))))))</x:f>
      </x:c>
      <x:c r="R66" s="17">
        <x:f>IF($A66="","",IF($Q66="","",IF($Q66="坏账风险","法务介入 / 准备诉讼",IF($Q66="高风险","上门沟通 / 部门经理介入",IF($Q66="中风险","电话催收 / 周度跟进",IF($Q66="预警","提醒客户按期回款","持续跟踪"))))))</x:f>
      </x:c>
      <x:c r="S66" s="13" t="n"/>
      <x:c r="T66" s="12" t="n"/>
      <x:c r="U66" s="17">
        <x:f>IF($A66="","",IF($H66&lt;=0,0,IF($J66="",0,$J66*100000000+$H66*100+ROW()/1000)))</x:f>
      </x:c>
    </x:row>
    <x:row r="67">
      <x:c r="A67" s="12" t="n"/>
      <x:c r="B67" s="12" t="n"/>
      <x:c r="C67" s="12" t="n"/>
      <x:c r="D67" s="12" t="n"/>
      <x:c r="E67" s="12" t="n"/>
      <x:c r="F67" s="14" t="n"/>
      <x:c r="G67" s="14" t="n"/>
      <x:c r="H67" s="15">
        <x:f>IF(AND($F67="",$G67=""),"",MAX($F67-$G67,0))</x:f>
      </x:c>
      <x:c r="I67" s="13" t="n"/>
      <x:c r="J67" s="17">
        <x:f>IF($A67="","",IF(OR($I67="",$H67&lt;=0),"",MAX(TODAY()-$I67,0)))</x:f>
      </x:c>
      <x:c r="K67" s="17">
        <x:f>IF($A67="","",IF($H67&lt;=0,"已回清",IF($I67="","",IF($J67=0,"未到期",IF($J67&lt;=30,"1-30天",IF($J67&lt;=60,"31-60天",IF($J67&lt;=90,"61-90天","90天以上")))))))</x:f>
      </x:c>
      <x:c r="L67" s="14" t="n"/>
      <x:c r="M67" s="14" t="n"/>
      <x:c r="N67" s="16">
        <x:f>IF($A67="","",IF($F67="","",IF($F67=0,0,$G67/$F67)))</x:f>
      </x:c>
      <x:c r="O67" s="12" t="n"/>
      <x:c r="P67" s="16">
        <x:f>IF(OR($B67="",$H67=""),"",IFERROR($H67/VLOOKUP($B67,Customers!$A$2:$J$201,10,FALSE),""))</x:f>
      </x:c>
      <x:c r="Q67" s="17">
        <x:f>IF($A67="","",IF($H67&lt;=0,"已回清",IF($J67="","",IF($J67&gt;90,"坏账风险",IF($J67&gt;60,"高风险",IF($J67&gt;30,"中风险",IF($J67&gt;0,"预警","正常")))))))</x:f>
      </x:c>
      <x:c r="R67" s="17">
        <x:f>IF($A67="","",IF($Q67="","",IF($Q67="坏账风险","法务介入 / 准备诉讼",IF($Q67="高风险","上门沟通 / 部门经理介入",IF($Q67="中风险","电话催收 / 周度跟进",IF($Q67="预警","提醒客户按期回款","持续跟踪"))))))</x:f>
      </x:c>
      <x:c r="S67" s="13" t="n"/>
      <x:c r="T67" s="12" t="n"/>
      <x:c r="U67" s="17">
        <x:f>IF($A67="","",IF($H67&lt;=0,0,IF($J67="",0,$J67*100000000+$H67*100+ROW()/1000)))</x:f>
      </x:c>
    </x:row>
    <x:row r="68">
      <x:c r="A68" s="12" t="n"/>
      <x:c r="B68" s="12" t="n"/>
      <x:c r="C68" s="12" t="n"/>
      <x:c r="D68" s="12" t="n"/>
      <x:c r="E68" s="12" t="n"/>
      <x:c r="F68" s="14" t="n"/>
      <x:c r="G68" s="14" t="n"/>
      <x:c r="H68" s="15">
        <x:f>IF(AND($F68="",$G68=""),"",MAX($F68-$G68,0))</x:f>
      </x:c>
      <x:c r="I68" s="13" t="n"/>
      <x:c r="J68" s="17">
        <x:f>IF($A68="","",IF(OR($I68="",$H68&lt;=0),"",MAX(TODAY()-$I68,0)))</x:f>
      </x:c>
      <x:c r="K68" s="17">
        <x:f>IF($A68="","",IF($H68&lt;=0,"已回清",IF($I68="","",IF($J68=0,"未到期",IF($J68&lt;=30,"1-30天",IF($J68&lt;=60,"31-60天",IF($J68&lt;=90,"61-90天","90天以上")))))))</x:f>
      </x:c>
      <x:c r="L68" s="14" t="n"/>
      <x:c r="M68" s="14" t="n"/>
      <x:c r="N68" s="16">
        <x:f>IF($A68="","",IF($F68="","",IF($F68=0,0,$G68/$F68)))</x:f>
      </x:c>
      <x:c r="O68" s="12" t="n"/>
      <x:c r="P68" s="16">
        <x:f>IF(OR($B68="",$H68=""),"",IFERROR($H68/VLOOKUP($B68,Customers!$A$2:$J$201,10,FALSE),""))</x:f>
      </x:c>
      <x:c r="Q68" s="17">
        <x:f>IF($A68="","",IF($H68&lt;=0,"已回清",IF($J68="","",IF($J68&gt;90,"坏账风险",IF($J68&gt;60,"高风险",IF($J68&gt;30,"中风险",IF($J68&gt;0,"预警","正常")))))))</x:f>
      </x:c>
      <x:c r="R68" s="17">
        <x:f>IF($A68="","",IF($Q68="","",IF($Q68="坏账风险","法务介入 / 准备诉讼",IF($Q68="高风险","上门沟通 / 部门经理介入",IF($Q68="中风险","电话催收 / 周度跟进",IF($Q68="预警","提醒客户按期回款","持续跟踪"))))))</x:f>
      </x:c>
      <x:c r="S68" s="13" t="n"/>
      <x:c r="T68" s="12" t="n"/>
      <x:c r="U68" s="17">
        <x:f>IF($A68="","",IF($H68&lt;=0,0,IF($J68="",0,$J68*100000000+$H68*100+ROW()/1000)))</x:f>
      </x:c>
    </x:row>
    <x:row r="69">
      <x:c r="A69" s="12" t="n"/>
      <x:c r="B69" s="12" t="n"/>
      <x:c r="C69" s="12" t="n"/>
      <x:c r="D69" s="12" t="n"/>
      <x:c r="E69" s="12" t="n"/>
      <x:c r="F69" s="14" t="n"/>
      <x:c r="G69" s="14" t="n"/>
      <x:c r="H69" s="15">
        <x:f>IF(AND($F69="",$G69=""),"",MAX($F69-$G69,0))</x:f>
      </x:c>
      <x:c r="I69" s="13" t="n"/>
      <x:c r="J69" s="17">
        <x:f>IF($A69="","",IF(OR($I69="",$H69&lt;=0),"",MAX(TODAY()-$I69,0)))</x:f>
      </x:c>
      <x:c r="K69" s="17">
        <x:f>IF($A69="","",IF($H69&lt;=0,"已回清",IF($I69="","",IF($J69=0,"未到期",IF($J69&lt;=30,"1-30天",IF($J69&lt;=60,"31-60天",IF($J69&lt;=90,"61-90天","90天以上")))))))</x:f>
      </x:c>
      <x:c r="L69" s="14" t="n"/>
      <x:c r="M69" s="14" t="n"/>
      <x:c r="N69" s="16">
        <x:f>IF($A69="","",IF($F69="","",IF($F69=0,0,$G69/$F69)))</x:f>
      </x:c>
      <x:c r="O69" s="12" t="n"/>
      <x:c r="P69" s="16">
        <x:f>IF(OR($B69="",$H69=""),"",IFERROR($H69/VLOOKUP($B69,Customers!$A$2:$J$201,10,FALSE),""))</x:f>
      </x:c>
      <x:c r="Q69" s="17">
        <x:f>IF($A69="","",IF($H69&lt;=0,"已回清",IF($J69="","",IF($J69&gt;90,"坏账风险",IF($J69&gt;60,"高风险",IF($J69&gt;30,"中风险",IF($J69&gt;0,"预警","正常")))))))</x:f>
      </x:c>
      <x:c r="R69" s="17">
        <x:f>IF($A69="","",IF($Q69="","",IF($Q69="坏账风险","法务介入 / 准备诉讼",IF($Q69="高风险","上门沟通 / 部门经理介入",IF($Q69="中风险","电话催收 / 周度跟进",IF($Q69="预警","提醒客户按期回款","持续跟踪"))))))</x:f>
      </x:c>
      <x:c r="S69" s="13" t="n"/>
      <x:c r="T69" s="12" t="n"/>
      <x:c r="U69" s="17">
        <x:f>IF($A69="","",IF($H69&lt;=0,0,IF($J69="",0,$J69*100000000+$H69*100+ROW()/1000)))</x:f>
      </x:c>
    </x:row>
    <x:row r="70">
      <x:c r="A70" s="12" t="n"/>
      <x:c r="B70" s="12" t="n"/>
      <x:c r="C70" s="12" t="n"/>
      <x:c r="D70" s="12" t="n"/>
      <x:c r="E70" s="12" t="n"/>
      <x:c r="F70" s="14" t="n"/>
      <x:c r="G70" s="14" t="n"/>
      <x:c r="H70" s="15">
        <x:f>IF(AND($F70="",$G70=""),"",MAX($F70-$G70,0))</x:f>
      </x:c>
      <x:c r="I70" s="13" t="n"/>
      <x:c r="J70" s="17">
        <x:f>IF($A70="","",IF(OR($I70="",$H70&lt;=0),"",MAX(TODAY()-$I70,0)))</x:f>
      </x:c>
      <x:c r="K70" s="17">
        <x:f>IF($A70="","",IF($H70&lt;=0,"已回清",IF($I70="","",IF($J70=0,"未到期",IF($J70&lt;=30,"1-30天",IF($J70&lt;=60,"31-60天",IF($J70&lt;=90,"61-90天","90天以上")))))))</x:f>
      </x:c>
      <x:c r="L70" s="14" t="n"/>
      <x:c r="M70" s="14" t="n"/>
      <x:c r="N70" s="16">
        <x:f>IF($A70="","",IF($F70="","",IF($F70=0,0,$G70/$F70)))</x:f>
      </x:c>
      <x:c r="O70" s="12" t="n"/>
      <x:c r="P70" s="16">
        <x:f>IF(OR($B70="",$H70=""),"",IFERROR($H70/VLOOKUP($B70,Customers!$A$2:$J$201,10,FALSE),""))</x:f>
      </x:c>
      <x:c r="Q70" s="17">
        <x:f>IF($A70="","",IF($H70&lt;=0,"已回清",IF($J70="","",IF($J70&gt;90,"坏账风险",IF($J70&gt;60,"高风险",IF($J70&gt;30,"中风险",IF($J70&gt;0,"预警","正常")))))))</x:f>
      </x:c>
      <x:c r="R70" s="17">
        <x:f>IF($A70="","",IF($Q70="","",IF($Q70="坏账风险","法务介入 / 准备诉讼",IF($Q70="高风险","上门沟通 / 部门经理介入",IF($Q70="中风险","电话催收 / 周度跟进",IF($Q70="预警","提醒客户按期回款","持续跟踪"))))))</x:f>
      </x:c>
      <x:c r="S70" s="13" t="n"/>
      <x:c r="T70" s="12" t="n"/>
      <x:c r="U70" s="17">
        <x:f>IF($A70="","",IF($H70&lt;=0,0,IF($J70="",0,$J70*100000000+$H70*100+ROW()/1000)))</x:f>
      </x:c>
    </x:row>
    <x:row r="71">
      <x:c r="A71" s="12" t="n"/>
      <x:c r="B71" s="12" t="n"/>
      <x:c r="C71" s="12" t="n"/>
      <x:c r="D71" s="12" t="n"/>
      <x:c r="E71" s="12" t="n"/>
      <x:c r="F71" s="14" t="n"/>
      <x:c r="G71" s="14" t="n"/>
      <x:c r="H71" s="15">
        <x:f>IF(AND($F71="",$G71=""),"",MAX($F71-$G71,0))</x:f>
      </x:c>
      <x:c r="I71" s="13" t="n"/>
      <x:c r="J71" s="17">
        <x:f>IF($A71="","",IF(OR($I71="",$H71&lt;=0),"",MAX(TODAY()-$I71,0)))</x:f>
      </x:c>
      <x:c r="K71" s="17">
        <x:f>IF($A71="","",IF($H71&lt;=0,"已回清",IF($I71="","",IF($J71=0,"未到期",IF($J71&lt;=30,"1-30天",IF($J71&lt;=60,"31-60天",IF($J71&lt;=90,"61-90天","90天以上")))))))</x:f>
      </x:c>
      <x:c r="L71" s="14" t="n"/>
      <x:c r="M71" s="14" t="n"/>
      <x:c r="N71" s="16">
        <x:f>IF($A71="","",IF($F71="","",IF($F71=0,0,$G71/$F71)))</x:f>
      </x:c>
      <x:c r="O71" s="12" t="n"/>
      <x:c r="P71" s="16">
        <x:f>IF(OR($B71="",$H71=""),"",IFERROR($H71/VLOOKUP($B71,Customers!$A$2:$J$201,10,FALSE),""))</x:f>
      </x:c>
      <x:c r="Q71" s="17">
        <x:f>IF($A71="","",IF($H71&lt;=0,"已回清",IF($J71="","",IF($J71&gt;90,"坏账风险",IF($J71&gt;60,"高风险",IF($J71&gt;30,"中风险",IF($J71&gt;0,"预警","正常")))))))</x:f>
      </x:c>
      <x:c r="R71" s="17">
        <x:f>IF($A71="","",IF($Q71="","",IF($Q71="坏账风险","法务介入 / 准备诉讼",IF($Q71="高风险","上门沟通 / 部门经理介入",IF($Q71="中风险","电话催收 / 周度跟进",IF($Q71="预警","提醒客户按期回款","持续跟踪"))))))</x:f>
      </x:c>
      <x:c r="S71" s="13" t="n"/>
      <x:c r="T71" s="12" t="n"/>
      <x:c r="U71" s="17">
        <x:f>IF($A71="","",IF($H71&lt;=0,0,IF($J71="",0,$J71*100000000+$H71*100+ROW()/1000)))</x:f>
      </x:c>
    </x:row>
    <x:row r="72">
      <x:c r="A72" s="12" t="n"/>
      <x:c r="B72" s="12" t="n"/>
      <x:c r="C72" s="12" t="n"/>
      <x:c r="D72" s="12" t="n"/>
      <x:c r="E72" s="12" t="n"/>
      <x:c r="F72" s="14" t="n"/>
      <x:c r="G72" s="14" t="n"/>
      <x:c r="H72" s="15">
        <x:f>IF(AND($F72="",$G72=""),"",MAX($F72-$G72,0))</x:f>
      </x:c>
      <x:c r="I72" s="13" t="n"/>
      <x:c r="J72" s="17">
        <x:f>IF($A72="","",IF(OR($I72="",$H72&lt;=0),"",MAX(TODAY()-$I72,0)))</x:f>
      </x:c>
      <x:c r="K72" s="17">
        <x:f>IF($A72="","",IF($H72&lt;=0,"已回清",IF($I72="","",IF($J72=0,"未到期",IF($J72&lt;=30,"1-30天",IF($J72&lt;=60,"31-60天",IF($J72&lt;=90,"61-90天","90天以上")))))))</x:f>
      </x:c>
      <x:c r="L72" s="14" t="n"/>
      <x:c r="M72" s="14" t="n"/>
      <x:c r="N72" s="16">
        <x:f>IF($A72="","",IF($F72="","",IF($F72=0,0,$G72/$F72)))</x:f>
      </x:c>
      <x:c r="O72" s="12" t="n"/>
      <x:c r="P72" s="16">
        <x:f>IF(OR($B72="",$H72=""),"",IFERROR($H72/VLOOKUP($B72,Customers!$A$2:$J$201,10,FALSE),""))</x:f>
      </x:c>
      <x:c r="Q72" s="17">
        <x:f>IF($A72="","",IF($H72&lt;=0,"已回清",IF($J72="","",IF($J72&gt;90,"坏账风险",IF($J72&gt;60,"高风险",IF($J72&gt;30,"中风险",IF($J72&gt;0,"预警","正常")))))))</x:f>
      </x:c>
      <x:c r="R72" s="17">
        <x:f>IF($A72="","",IF($Q72="","",IF($Q72="坏账风险","法务介入 / 准备诉讼",IF($Q72="高风险","上门沟通 / 部门经理介入",IF($Q72="中风险","电话催收 / 周度跟进",IF($Q72="预警","提醒客户按期回款","持续跟踪"))))))</x:f>
      </x:c>
      <x:c r="S72" s="13" t="n"/>
      <x:c r="T72" s="12" t="n"/>
      <x:c r="U72" s="17">
        <x:f>IF($A72="","",IF($H72&lt;=0,0,IF($J72="",0,$J72*100000000+$H72*100+ROW()/1000)))</x:f>
      </x:c>
    </x:row>
    <x:row r="73">
      <x:c r="A73" s="12" t="n"/>
      <x:c r="B73" s="12" t="n"/>
      <x:c r="C73" s="12" t="n"/>
      <x:c r="D73" s="12" t="n"/>
      <x:c r="E73" s="12" t="n"/>
      <x:c r="F73" s="14" t="n"/>
      <x:c r="G73" s="14" t="n"/>
      <x:c r="H73" s="15">
        <x:f>IF(AND($F73="",$G73=""),"",MAX($F73-$G73,0))</x:f>
      </x:c>
      <x:c r="I73" s="13" t="n"/>
      <x:c r="J73" s="17">
        <x:f>IF($A73="","",IF(OR($I73="",$H73&lt;=0),"",MAX(TODAY()-$I73,0)))</x:f>
      </x:c>
      <x:c r="K73" s="17">
        <x:f>IF($A73="","",IF($H73&lt;=0,"已回清",IF($I73="","",IF($J73=0,"未到期",IF($J73&lt;=30,"1-30天",IF($J73&lt;=60,"31-60天",IF($J73&lt;=90,"61-90天","90天以上")))))))</x:f>
      </x:c>
      <x:c r="L73" s="14" t="n"/>
      <x:c r="M73" s="14" t="n"/>
      <x:c r="N73" s="16">
        <x:f>IF($A73="","",IF($F73="","",IF($F73=0,0,$G73/$F73)))</x:f>
      </x:c>
      <x:c r="O73" s="12" t="n"/>
      <x:c r="P73" s="16">
        <x:f>IF(OR($B73="",$H73=""),"",IFERROR($H73/VLOOKUP($B73,Customers!$A$2:$J$201,10,FALSE),""))</x:f>
      </x:c>
      <x:c r="Q73" s="17">
        <x:f>IF($A73="","",IF($H73&lt;=0,"已回清",IF($J73="","",IF($J73&gt;90,"坏账风险",IF($J73&gt;60,"高风险",IF($J73&gt;30,"中风险",IF($J73&gt;0,"预警","正常")))))))</x:f>
      </x:c>
      <x:c r="R73" s="17">
        <x:f>IF($A73="","",IF($Q73="","",IF($Q73="坏账风险","法务介入 / 准备诉讼",IF($Q73="高风险","上门沟通 / 部门经理介入",IF($Q73="中风险","电话催收 / 周度跟进",IF($Q73="预警","提醒客户按期回款","持续跟踪"))))))</x:f>
      </x:c>
      <x:c r="S73" s="13" t="n"/>
      <x:c r="T73" s="12" t="n"/>
      <x:c r="U73" s="17">
        <x:f>IF($A73="","",IF($H73&lt;=0,0,IF($J73="",0,$J73*100000000+$H73*100+ROW()/1000)))</x:f>
      </x:c>
    </x:row>
    <x:row r="74">
      <x:c r="A74" s="12" t="n"/>
      <x:c r="B74" s="12" t="n"/>
      <x:c r="C74" s="12" t="n"/>
      <x:c r="D74" s="12" t="n"/>
      <x:c r="E74" s="12" t="n"/>
      <x:c r="F74" s="14" t="n"/>
      <x:c r="G74" s="14" t="n"/>
      <x:c r="H74" s="15">
        <x:f>IF(AND($F74="",$G74=""),"",MAX($F74-$G74,0))</x:f>
      </x:c>
      <x:c r="I74" s="13" t="n"/>
      <x:c r="J74" s="17">
        <x:f>IF($A74="","",IF(OR($I74="",$H74&lt;=0),"",MAX(TODAY()-$I74,0)))</x:f>
      </x:c>
      <x:c r="K74" s="17">
        <x:f>IF($A74="","",IF($H74&lt;=0,"已回清",IF($I74="","",IF($J74=0,"未到期",IF($J74&lt;=30,"1-30天",IF($J74&lt;=60,"31-60天",IF($J74&lt;=90,"61-90天","90天以上")))))))</x:f>
      </x:c>
      <x:c r="L74" s="14" t="n"/>
      <x:c r="M74" s="14" t="n"/>
      <x:c r="N74" s="16">
        <x:f>IF($A74="","",IF($F74="","",IF($F74=0,0,$G74/$F74)))</x:f>
      </x:c>
      <x:c r="O74" s="12" t="n"/>
      <x:c r="P74" s="16">
        <x:f>IF(OR($B74="",$H74=""),"",IFERROR($H74/VLOOKUP($B74,Customers!$A$2:$J$201,10,FALSE),""))</x:f>
      </x:c>
      <x:c r="Q74" s="17">
        <x:f>IF($A74="","",IF($H74&lt;=0,"已回清",IF($J74="","",IF($J74&gt;90,"坏账风险",IF($J74&gt;60,"高风险",IF($J74&gt;30,"中风险",IF($J74&gt;0,"预警","正常")))))))</x:f>
      </x:c>
      <x:c r="R74" s="17">
        <x:f>IF($A74="","",IF($Q74="","",IF($Q74="坏账风险","法务介入 / 准备诉讼",IF($Q74="高风险","上门沟通 / 部门经理介入",IF($Q74="中风险","电话催收 / 周度跟进",IF($Q74="预警","提醒客户按期回款","持续跟踪"))))))</x:f>
      </x:c>
      <x:c r="S74" s="13" t="n"/>
      <x:c r="T74" s="12" t="n"/>
      <x:c r="U74" s="17">
        <x:f>IF($A74="","",IF($H74&lt;=0,0,IF($J74="",0,$J74*100000000+$H74*100+ROW()/1000)))</x:f>
      </x:c>
    </x:row>
    <x:row r="75">
      <x:c r="A75" s="12" t="n"/>
      <x:c r="B75" s="12" t="n"/>
      <x:c r="C75" s="12" t="n"/>
      <x:c r="D75" s="12" t="n"/>
      <x:c r="E75" s="12" t="n"/>
      <x:c r="F75" s="14" t="n"/>
      <x:c r="G75" s="14" t="n"/>
      <x:c r="H75" s="15">
        <x:f>IF(AND($F75="",$G75=""),"",MAX($F75-$G75,0))</x:f>
      </x:c>
      <x:c r="I75" s="13" t="n"/>
      <x:c r="J75" s="17">
        <x:f>IF($A75="","",IF(OR($I75="",$H75&lt;=0),"",MAX(TODAY()-$I75,0)))</x:f>
      </x:c>
      <x:c r="K75" s="17">
        <x:f>IF($A75="","",IF($H75&lt;=0,"已回清",IF($I75="","",IF($J75=0,"未到期",IF($J75&lt;=30,"1-30天",IF($J75&lt;=60,"31-60天",IF($J75&lt;=90,"61-90天","90天以上")))))))</x:f>
      </x:c>
      <x:c r="L75" s="14" t="n"/>
      <x:c r="M75" s="14" t="n"/>
      <x:c r="N75" s="16">
        <x:f>IF($A75="","",IF($F75="","",IF($F75=0,0,$G75/$F75)))</x:f>
      </x:c>
      <x:c r="O75" s="12" t="n"/>
      <x:c r="P75" s="16">
        <x:f>IF(OR($B75="",$H75=""),"",IFERROR($H75/VLOOKUP($B75,Customers!$A$2:$J$201,10,FALSE),""))</x:f>
      </x:c>
      <x:c r="Q75" s="17">
        <x:f>IF($A75="","",IF($H75&lt;=0,"已回清",IF($J75="","",IF($J75&gt;90,"坏账风险",IF($J75&gt;60,"高风险",IF($J75&gt;30,"中风险",IF($J75&gt;0,"预警","正常")))))))</x:f>
      </x:c>
      <x:c r="R75" s="17">
        <x:f>IF($A75="","",IF($Q75="","",IF($Q75="坏账风险","法务介入 / 准备诉讼",IF($Q75="高风险","上门沟通 / 部门经理介入",IF($Q75="中风险","电话催收 / 周度跟进",IF($Q75="预警","提醒客户按期回款","持续跟踪"))))))</x:f>
      </x:c>
      <x:c r="S75" s="13" t="n"/>
      <x:c r="T75" s="12" t="n"/>
      <x:c r="U75" s="17">
        <x:f>IF($A75="","",IF($H75&lt;=0,0,IF($J75="",0,$J75*100000000+$H75*100+ROW()/1000)))</x:f>
      </x:c>
    </x:row>
    <x:row r="76">
      <x:c r="A76" s="12" t="n"/>
      <x:c r="B76" s="12" t="n"/>
      <x:c r="C76" s="12" t="n"/>
      <x:c r="D76" s="12" t="n"/>
      <x:c r="E76" s="12" t="n"/>
      <x:c r="F76" s="14" t="n"/>
      <x:c r="G76" s="14" t="n"/>
      <x:c r="H76" s="15">
        <x:f>IF(AND($F76="",$G76=""),"",MAX($F76-$G76,0))</x:f>
      </x:c>
      <x:c r="I76" s="13" t="n"/>
      <x:c r="J76" s="17">
        <x:f>IF($A76="","",IF(OR($I76="",$H76&lt;=0),"",MAX(TODAY()-$I76,0)))</x:f>
      </x:c>
      <x:c r="K76" s="17">
        <x:f>IF($A76="","",IF($H76&lt;=0,"已回清",IF($I76="","",IF($J76=0,"未到期",IF($J76&lt;=30,"1-30天",IF($J76&lt;=60,"31-60天",IF($J76&lt;=90,"61-90天","90天以上")))))))</x:f>
      </x:c>
      <x:c r="L76" s="14" t="n"/>
      <x:c r="M76" s="14" t="n"/>
      <x:c r="N76" s="16">
        <x:f>IF($A76="","",IF($F76="","",IF($F76=0,0,$G76/$F76)))</x:f>
      </x:c>
      <x:c r="O76" s="12" t="n"/>
      <x:c r="P76" s="16">
        <x:f>IF(OR($B76="",$H76=""),"",IFERROR($H76/VLOOKUP($B76,Customers!$A$2:$J$201,10,FALSE),""))</x:f>
      </x:c>
      <x:c r="Q76" s="17">
        <x:f>IF($A76="","",IF($H76&lt;=0,"已回清",IF($J76="","",IF($J76&gt;90,"坏账风险",IF($J76&gt;60,"高风险",IF($J76&gt;30,"中风险",IF($J76&gt;0,"预警","正常")))))))</x:f>
      </x:c>
      <x:c r="R76" s="17">
        <x:f>IF($A76="","",IF($Q76="","",IF($Q76="坏账风险","法务介入 / 准备诉讼",IF($Q76="高风险","上门沟通 / 部门经理介入",IF($Q76="中风险","电话催收 / 周度跟进",IF($Q76="预警","提醒客户按期回款","持续跟踪"))))))</x:f>
      </x:c>
      <x:c r="S76" s="13" t="n"/>
      <x:c r="T76" s="12" t="n"/>
      <x:c r="U76" s="17">
        <x:f>IF($A76="","",IF($H76&lt;=0,0,IF($J76="",0,$J76*100000000+$H76*100+ROW()/1000)))</x:f>
      </x:c>
    </x:row>
    <x:row r="77">
      <x:c r="A77" s="12" t="n"/>
      <x:c r="B77" s="12" t="n"/>
      <x:c r="C77" s="12" t="n"/>
      <x:c r="D77" s="12" t="n"/>
      <x:c r="E77" s="12" t="n"/>
      <x:c r="F77" s="14" t="n"/>
      <x:c r="G77" s="14" t="n"/>
      <x:c r="H77" s="15">
        <x:f>IF(AND($F77="",$G77=""),"",MAX($F77-$G77,0))</x:f>
      </x:c>
      <x:c r="I77" s="13" t="n"/>
      <x:c r="J77" s="17">
        <x:f>IF($A77="","",IF(OR($I77="",$H77&lt;=0),"",MAX(TODAY()-$I77,0)))</x:f>
      </x:c>
      <x:c r="K77" s="17">
        <x:f>IF($A77="","",IF($H77&lt;=0,"已回清",IF($I77="","",IF($J77=0,"未到期",IF($J77&lt;=30,"1-30天",IF($J77&lt;=60,"31-60天",IF($J77&lt;=90,"61-90天","90天以上")))))))</x:f>
      </x:c>
      <x:c r="L77" s="14" t="n"/>
      <x:c r="M77" s="14" t="n"/>
      <x:c r="N77" s="16">
        <x:f>IF($A77="","",IF($F77="","",IF($F77=0,0,$G77/$F77)))</x:f>
      </x:c>
      <x:c r="O77" s="12" t="n"/>
      <x:c r="P77" s="16">
        <x:f>IF(OR($B77="",$H77=""),"",IFERROR($H77/VLOOKUP($B77,Customers!$A$2:$J$201,10,FALSE),""))</x:f>
      </x:c>
      <x:c r="Q77" s="17">
        <x:f>IF($A77="","",IF($H77&lt;=0,"已回清",IF($J77="","",IF($J77&gt;90,"坏账风险",IF($J77&gt;60,"高风险",IF($J77&gt;30,"中风险",IF($J77&gt;0,"预警","正常")))))))</x:f>
      </x:c>
      <x:c r="R77" s="17">
        <x:f>IF($A77="","",IF($Q77="","",IF($Q77="坏账风险","法务介入 / 准备诉讼",IF($Q77="高风险","上门沟通 / 部门经理介入",IF($Q77="中风险","电话催收 / 周度跟进",IF($Q77="预警","提醒客户按期回款","持续跟踪"))))))</x:f>
      </x:c>
      <x:c r="S77" s="13" t="n"/>
      <x:c r="T77" s="12" t="n"/>
      <x:c r="U77" s="17">
        <x:f>IF($A77="","",IF($H77&lt;=0,0,IF($J77="",0,$J77*100000000+$H77*100+ROW()/1000)))</x:f>
      </x:c>
    </x:row>
    <x:row r="78">
      <x:c r="A78" s="12" t="n"/>
      <x:c r="B78" s="12" t="n"/>
      <x:c r="C78" s="12" t="n"/>
      <x:c r="D78" s="12" t="n"/>
      <x:c r="E78" s="12" t="n"/>
      <x:c r="F78" s="14" t="n"/>
      <x:c r="G78" s="14" t="n"/>
      <x:c r="H78" s="15">
        <x:f>IF(AND($F78="",$G78=""),"",MAX($F78-$G78,0))</x:f>
      </x:c>
      <x:c r="I78" s="13" t="n"/>
      <x:c r="J78" s="17">
        <x:f>IF($A78="","",IF(OR($I78="",$H78&lt;=0),"",MAX(TODAY()-$I78,0)))</x:f>
      </x:c>
      <x:c r="K78" s="17">
        <x:f>IF($A78="","",IF($H78&lt;=0,"已回清",IF($I78="","",IF($J78=0,"未到期",IF($J78&lt;=30,"1-30天",IF($J78&lt;=60,"31-60天",IF($J78&lt;=90,"61-90天","90天以上")))))))</x:f>
      </x:c>
      <x:c r="L78" s="14" t="n"/>
      <x:c r="M78" s="14" t="n"/>
      <x:c r="N78" s="16">
        <x:f>IF($A78="","",IF($F78="","",IF($F78=0,0,$G78/$F78)))</x:f>
      </x:c>
      <x:c r="O78" s="12" t="n"/>
      <x:c r="P78" s="16">
        <x:f>IF(OR($B78="",$H78=""),"",IFERROR($H78/VLOOKUP($B78,Customers!$A$2:$J$201,10,FALSE),""))</x:f>
      </x:c>
      <x:c r="Q78" s="17">
        <x:f>IF($A78="","",IF($H78&lt;=0,"已回清",IF($J78="","",IF($J78&gt;90,"坏账风险",IF($J78&gt;60,"高风险",IF($J78&gt;30,"中风险",IF($J78&gt;0,"预警","正常")))))))</x:f>
      </x:c>
      <x:c r="R78" s="17">
        <x:f>IF($A78="","",IF($Q78="","",IF($Q78="坏账风险","法务介入 / 准备诉讼",IF($Q78="高风险","上门沟通 / 部门经理介入",IF($Q78="中风险","电话催收 / 周度跟进",IF($Q78="预警","提醒客户按期回款","持续跟踪"))))))</x:f>
      </x:c>
      <x:c r="S78" s="13" t="n"/>
      <x:c r="T78" s="12" t="n"/>
      <x:c r="U78" s="17">
        <x:f>IF($A78="","",IF($H78&lt;=0,0,IF($J78="",0,$J78*100000000+$H78*100+ROW()/1000)))</x:f>
      </x:c>
    </x:row>
    <x:row r="79">
      <x:c r="A79" s="12" t="n"/>
      <x:c r="B79" s="12" t="n"/>
      <x:c r="C79" s="12" t="n"/>
      <x:c r="D79" s="12" t="n"/>
      <x:c r="E79" s="12" t="n"/>
      <x:c r="F79" s="14" t="n"/>
      <x:c r="G79" s="14" t="n"/>
      <x:c r="H79" s="15">
        <x:f>IF(AND($F79="",$G79=""),"",MAX($F79-$G79,0))</x:f>
      </x:c>
      <x:c r="I79" s="13" t="n"/>
      <x:c r="J79" s="17">
        <x:f>IF($A79="","",IF(OR($I79="",$H79&lt;=0),"",MAX(TODAY()-$I79,0)))</x:f>
      </x:c>
      <x:c r="K79" s="17">
        <x:f>IF($A79="","",IF($H79&lt;=0,"已回清",IF($I79="","",IF($J79=0,"未到期",IF($J79&lt;=30,"1-30天",IF($J79&lt;=60,"31-60天",IF($J79&lt;=90,"61-90天","90天以上")))))))</x:f>
      </x:c>
      <x:c r="L79" s="14" t="n"/>
      <x:c r="M79" s="14" t="n"/>
      <x:c r="N79" s="16">
        <x:f>IF($A79="","",IF($F79="","",IF($F79=0,0,$G79/$F79)))</x:f>
      </x:c>
      <x:c r="O79" s="12" t="n"/>
      <x:c r="P79" s="16">
        <x:f>IF(OR($B79="",$H79=""),"",IFERROR($H79/VLOOKUP($B79,Customers!$A$2:$J$201,10,FALSE),""))</x:f>
      </x:c>
      <x:c r="Q79" s="17">
        <x:f>IF($A79="","",IF($H79&lt;=0,"已回清",IF($J79="","",IF($J79&gt;90,"坏账风险",IF($J79&gt;60,"高风险",IF($J79&gt;30,"中风险",IF($J79&gt;0,"预警","正常")))))))</x:f>
      </x:c>
      <x:c r="R79" s="17">
        <x:f>IF($A79="","",IF($Q79="","",IF($Q79="坏账风险","法务介入 / 准备诉讼",IF($Q79="高风险","上门沟通 / 部门经理介入",IF($Q79="中风险","电话催收 / 周度跟进",IF($Q79="预警","提醒客户按期回款","持续跟踪"))))))</x:f>
      </x:c>
      <x:c r="S79" s="13" t="n"/>
      <x:c r="T79" s="12" t="n"/>
      <x:c r="U79" s="17">
        <x:f>IF($A79="","",IF($H79&lt;=0,0,IF($J79="",0,$J79*100000000+$H79*100+ROW()/1000)))</x:f>
      </x:c>
    </x:row>
    <x:row r="80">
      <x:c r="A80" s="12" t="n"/>
      <x:c r="B80" s="12" t="n"/>
      <x:c r="C80" s="12" t="n"/>
      <x:c r="D80" s="12" t="n"/>
      <x:c r="E80" s="12" t="n"/>
      <x:c r="F80" s="14" t="n"/>
      <x:c r="G80" s="14" t="n"/>
      <x:c r="H80" s="15">
        <x:f>IF(AND($F80="",$G80=""),"",MAX($F80-$G80,0))</x:f>
      </x:c>
      <x:c r="I80" s="13" t="n"/>
      <x:c r="J80" s="17">
        <x:f>IF($A80="","",IF(OR($I80="",$H80&lt;=0),"",MAX(TODAY()-$I80,0)))</x:f>
      </x:c>
      <x:c r="K80" s="17">
        <x:f>IF($A80="","",IF($H80&lt;=0,"已回清",IF($I80="","",IF($J80=0,"未到期",IF($J80&lt;=30,"1-30天",IF($J80&lt;=60,"31-60天",IF($J80&lt;=90,"61-90天","90天以上")))))))</x:f>
      </x:c>
      <x:c r="L80" s="14" t="n"/>
      <x:c r="M80" s="14" t="n"/>
      <x:c r="N80" s="16">
        <x:f>IF($A80="","",IF($F80="","",IF($F80=0,0,$G80/$F80)))</x:f>
      </x:c>
      <x:c r="O80" s="12" t="n"/>
      <x:c r="P80" s="16">
        <x:f>IF(OR($B80="",$H80=""),"",IFERROR($H80/VLOOKUP($B80,Customers!$A$2:$J$201,10,FALSE),""))</x:f>
      </x:c>
      <x:c r="Q80" s="17">
        <x:f>IF($A80="","",IF($H80&lt;=0,"已回清",IF($J80="","",IF($J80&gt;90,"坏账风险",IF($J80&gt;60,"高风险",IF($J80&gt;30,"中风险",IF($J80&gt;0,"预警","正常")))))))</x:f>
      </x:c>
      <x:c r="R80" s="17">
        <x:f>IF($A80="","",IF($Q80="","",IF($Q80="坏账风险","法务介入 / 准备诉讼",IF($Q80="高风险","上门沟通 / 部门经理介入",IF($Q80="中风险","电话催收 / 周度跟进",IF($Q80="预警","提醒客户按期回款","持续跟踪"))))))</x:f>
      </x:c>
      <x:c r="S80" s="13" t="n"/>
      <x:c r="T80" s="12" t="n"/>
      <x:c r="U80" s="17">
        <x:f>IF($A80="","",IF($H80&lt;=0,0,IF($J80="",0,$J80*100000000+$H80*100+ROW()/1000)))</x:f>
      </x:c>
    </x:row>
    <x:row r="81">
      <x:c r="A81" s="12" t="n"/>
      <x:c r="B81" s="12" t="n"/>
      <x:c r="C81" s="12" t="n"/>
      <x:c r="D81" s="12" t="n"/>
      <x:c r="E81" s="12" t="n"/>
      <x:c r="F81" s="14" t="n"/>
      <x:c r="G81" s="14" t="n"/>
      <x:c r="H81" s="15">
        <x:f>IF(AND($F81="",$G81=""),"",MAX($F81-$G81,0))</x:f>
      </x:c>
      <x:c r="I81" s="13" t="n"/>
      <x:c r="J81" s="17">
        <x:f>IF($A81="","",IF(OR($I81="",$H81&lt;=0),"",MAX(TODAY()-$I81,0)))</x:f>
      </x:c>
      <x:c r="K81" s="17">
        <x:f>IF($A81="","",IF($H81&lt;=0,"已回清",IF($I81="","",IF($J81=0,"未到期",IF($J81&lt;=30,"1-30天",IF($J81&lt;=60,"31-60天",IF($J81&lt;=90,"61-90天","90天以上")))))))</x:f>
      </x:c>
      <x:c r="L81" s="14" t="n"/>
      <x:c r="M81" s="14" t="n"/>
      <x:c r="N81" s="16">
        <x:f>IF($A81="","",IF($F81="","",IF($F81=0,0,$G81/$F81)))</x:f>
      </x:c>
      <x:c r="O81" s="12" t="n"/>
      <x:c r="P81" s="16">
        <x:f>IF(OR($B81="",$H81=""),"",IFERROR($H81/VLOOKUP($B81,Customers!$A$2:$J$201,10,FALSE),""))</x:f>
      </x:c>
      <x:c r="Q81" s="17">
        <x:f>IF($A81="","",IF($H81&lt;=0,"已回清",IF($J81="","",IF($J81&gt;90,"坏账风险",IF($J81&gt;60,"高风险",IF($J81&gt;30,"中风险",IF($J81&gt;0,"预警","正常")))))))</x:f>
      </x:c>
      <x:c r="R81" s="17">
        <x:f>IF($A81="","",IF($Q81="","",IF($Q81="坏账风险","法务介入 / 准备诉讼",IF($Q81="高风险","上门沟通 / 部门经理介入",IF($Q81="中风险","电话催收 / 周度跟进",IF($Q81="预警","提醒客户按期回款","持续跟踪"))))))</x:f>
      </x:c>
      <x:c r="S81" s="13" t="n"/>
      <x:c r="T81" s="12" t="n"/>
      <x:c r="U81" s="17">
        <x:f>IF($A81="","",IF($H81&lt;=0,0,IF($J81="",0,$J81*100000000+$H81*100+ROW()/1000)))</x:f>
      </x:c>
    </x:row>
    <x:row r="82">
      <x:c r="A82" s="12" t="n"/>
      <x:c r="B82" s="12" t="n"/>
      <x:c r="C82" s="12" t="n"/>
      <x:c r="D82" s="12" t="n"/>
      <x:c r="E82" s="12" t="n"/>
      <x:c r="F82" s="14" t="n"/>
      <x:c r="G82" s="14" t="n"/>
      <x:c r="H82" s="15">
        <x:f>IF(AND($F82="",$G82=""),"",MAX($F82-$G82,0))</x:f>
      </x:c>
      <x:c r="I82" s="13" t="n"/>
      <x:c r="J82" s="17">
        <x:f>IF($A82="","",IF(OR($I82="",$H82&lt;=0),"",MAX(TODAY()-$I82,0)))</x:f>
      </x:c>
      <x:c r="K82" s="17">
        <x:f>IF($A82="","",IF($H82&lt;=0,"已回清",IF($I82="","",IF($J82=0,"未到期",IF($J82&lt;=30,"1-30天",IF($J82&lt;=60,"31-60天",IF($J82&lt;=90,"61-90天","90天以上")))))))</x:f>
      </x:c>
      <x:c r="L82" s="14" t="n"/>
      <x:c r="M82" s="14" t="n"/>
      <x:c r="N82" s="16">
        <x:f>IF($A82="","",IF($F82="","",IF($F82=0,0,$G82/$F82)))</x:f>
      </x:c>
      <x:c r="O82" s="12" t="n"/>
      <x:c r="P82" s="16">
        <x:f>IF(OR($B82="",$H82=""),"",IFERROR($H82/VLOOKUP($B82,Customers!$A$2:$J$201,10,FALSE),""))</x:f>
      </x:c>
      <x:c r="Q82" s="17">
        <x:f>IF($A82="","",IF($H82&lt;=0,"已回清",IF($J82="","",IF($J82&gt;90,"坏账风险",IF($J82&gt;60,"高风险",IF($J82&gt;30,"中风险",IF($J82&gt;0,"预警","正常")))))))</x:f>
      </x:c>
      <x:c r="R82" s="17">
        <x:f>IF($A82="","",IF($Q82="","",IF($Q82="坏账风险","法务介入 / 准备诉讼",IF($Q82="高风险","上门沟通 / 部门经理介入",IF($Q82="中风险","电话催收 / 周度跟进",IF($Q82="预警","提醒客户按期回款","持续跟踪"))))))</x:f>
      </x:c>
      <x:c r="S82" s="13" t="n"/>
      <x:c r="T82" s="12" t="n"/>
      <x:c r="U82" s="17">
        <x:f>IF($A82="","",IF($H82&lt;=0,0,IF($J82="",0,$J82*100000000+$H82*100+ROW()/1000)))</x:f>
      </x:c>
    </x:row>
    <x:row r="83">
      <x:c r="A83" s="12" t="n"/>
      <x:c r="B83" s="12" t="n"/>
      <x:c r="C83" s="12" t="n"/>
      <x:c r="D83" s="12" t="n"/>
      <x:c r="E83" s="12" t="n"/>
      <x:c r="F83" s="14" t="n"/>
      <x:c r="G83" s="14" t="n"/>
      <x:c r="H83" s="15">
        <x:f>IF(AND($F83="",$G83=""),"",MAX($F83-$G83,0))</x:f>
      </x:c>
      <x:c r="I83" s="13" t="n"/>
      <x:c r="J83" s="17">
        <x:f>IF($A83="","",IF(OR($I83="",$H83&lt;=0),"",MAX(TODAY()-$I83,0)))</x:f>
      </x:c>
      <x:c r="K83" s="17">
        <x:f>IF($A83="","",IF($H83&lt;=0,"已回清",IF($I83="","",IF($J83=0,"未到期",IF($J83&lt;=30,"1-30天",IF($J83&lt;=60,"31-60天",IF($J83&lt;=90,"61-90天","90天以上")))))))</x:f>
      </x:c>
      <x:c r="L83" s="14" t="n"/>
      <x:c r="M83" s="14" t="n"/>
      <x:c r="N83" s="16">
        <x:f>IF($A83="","",IF($F83="","",IF($F83=0,0,$G83/$F83)))</x:f>
      </x:c>
      <x:c r="O83" s="12" t="n"/>
      <x:c r="P83" s="16">
        <x:f>IF(OR($B83="",$H83=""),"",IFERROR($H83/VLOOKUP($B83,Customers!$A$2:$J$201,10,FALSE),""))</x:f>
      </x:c>
      <x:c r="Q83" s="17">
        <x:f>IF($A83="","",IF($H83&lt;=0,"已回清",IF($J83="","",IF($J83&gt;90,"坏账风险",IF($J83&gt;60,"高风险",IF($J83&gt;30,"中风险",IF($J83&gt;0,"预警","正常")))))))</x:f>
      </x:c>
      <x:c r="R83" s="17">
        <x:f>IF($A83="","",IF($Q83="","",IF($Q83="坏账风险","法务介入 / 准备诉讼",IF($Q83="高风险","上门沟通 / 部门经理介入",IF($Q83="中风险","电话催收 / 周度跟进",IF($Q83="预警","提醒客户按期回款","持续跟踪"))))))</x:f>
      </x:c>
      <x:c r="S83" s="13" t="n"/>
      <x:c r="T83" s="12" t="n"/>
      <x:c r="U83" s="17">
        <x:f>IF($A83="","",IF($H83&lt;=0,0,IF($J83="",0,$J83*100000000+$H83*100+ROW()/1000)))</x:f>
      </x:c>
    </x:row>
    <x:row r="84">
      <x:c r="A84" s="12" t="n"/>
      <x:c r="B84" s="12" t="n"/>
      <x:c r="C84" s="12" t="n"/>
      <x:c r="D84" s="12" t="n"/>
      <x:c r="E84" s="12" t="n"/>
      <x:c r="F84" s="14" t="n"/>
      <x:c r="G84" s="14" t="n"/>
      <x:c r="H84" s="15">
        <x:f>IF(AND($F84="",$G84=""),"",MAX($F84-$G84,0))</x:f>
      </x:c>
      <x:c r="I84" s="13" t="n"/>
      <x:c r="J84" s="17">
        <x:f>IF($A84="","",IF(OR($I84="",$H84&lt;=0),"",MAX(TODAY()-$I84,0)))</x:f>
      </x:c>
      <x:c r="K84" s="17">
        <x:f>IF($A84="","",IF($H84&lt;=0,"已回清",IF($I84="","",IF($J84=0,"未到期",IF($J84&lt;=30,"1-30天",IF($J84&lt;=60,"31-60天",IF($J84&lt;=90,"61-90天","90天以上")))))))</x:f>
      </x:c>
      <x:c r="L84" s="14" t="n"/>
      <x:c r="M84" s="14" t="n"/>
      <x:c r="N84" s="16">
        <x:f>IF($A84="","",IF($F84="","",IF($F84=0,0,$G84/$F84)))</x:f>
      </x:c>
      <x:c r="O84" s="12" t="n"/>
      <x:c r="P84" s="16">
        <x:f>IF(OR($B84="",$H84=""),"",IFERROR($H84/VLOOKUP($B84,Customers!$A$2:$J$201,10,FALSE),""))</x:f>
      </x:c>
      <x:c r="Q84" s="17">
        <x:f>IF($A84="","",IF($H84&lt;=0,"已回清",IF($J84="","",IF($J84&gt;90,"坏账风险",IF($J84&gt;60,"高风险",IF($J84&gt;30,"中风险",IF($J84&gt;0,"预警","正常")))))))</x:f>
      </x:c>
      <x:c r="R84" s="17">
        <x:f>IF($A84="","",IF($Q84="","",IF($Q84="坏账风险","法务介入 / 准备诉讼",IF($Q84="高风险","上门沟通 / 部门经理介入",IF($Q84="中风险","电话催收 / 周度跟进",IF($Q84="预警","提醒客户按期回款","持续跟踪"))))))</x:f>
      </x:c>
      <x:c r="S84" s="13" t="n"/>
      <x:c r="T84" s="12" t="n"/>
      <x:c r="U84" s="17">
        <x:f>IF($A84="","",IF($H84&lt;=0,0,IF($J84="",0,$J84*100000000+$H84*100+ROW()/1000)))</x:f>
      </x:c>
    </x:row>
    <x:row r="85">
      <x:c r="A85" s="12" t="n"/>
      <x:c r="B85" s="12" t="n"/>
      <x:c r="C85" s="12" t="n"/>
      <x:c r="D85" s="12" t="n"/>
      <x:c r="E85" s="12" t="n"/>
      <x:c r="F85" s="14" t="n"/>
      <x:c r="G85" s="14" t="n"/>
      <x:c r="H85" s="15">
        <x:f>IF(AND($F85="",$G85=""),"",MAX($F85-$G85,0))</x:f>
      </x:c>
      <x:c r="I85" s="13" t="n"/>
      <x:c r="J85" s="17">
        <x:f>IF($A85="","",IF(OR($I85="",$H85&lt;=0),"",MAX(TODAY()-$I85,0)))</x:f>
      </x:c>
      <x:c r="K85" s="17">
        <x:f>IF($A85="","",IF($H85&lt;=0,"已回清",IF($I85="","",IF($J85=0,"未到期",IF($J85&lt;=30,"1-30天",IF($J85&lt;=60,"31-60天",IF($J85&lt;=90,"61-90天","90天以上")))))))</x:f>
      </x:c>
      <x:c r="L85" s="14" t="n"/>
      <x:c r="M85" s="14" t="n"/>
      <x:c r="N85" s="16">
        <x:f>IF($A85="","",IF($F85="","",IF($F85=0,0,$G85/$F85)))</x:f>
      </x:c>
      <x:c r="O85" s="12" t="n"/>
      <x:c r="P85" s="16">
        <x:f>IF(OR($B85="",$H85=""),"",IFERROR($H85/VLOOKUP($B85,Customers!$A$2:$J$201,10,FALSE),""))</x:f>
      </x:c>
      <x:c r="Q85" s="17">
        <x:f>IF($A85="","",IF($H85&lt;=0,"已回清",IF($J85="","",IF($J85&gt;90,"坏账风险",IF($J85&gt;60,"高风险",IF($J85&gt;30,"中风险",IF($J85&gt;0,"预警","正常")))))))</x:f>
      </x:c>
      <x:c r="R85" s="17">
        <x:f>IF($A85="","",IF($Q85="","",IF($Q85="坏账风险","法务介入 / 准备诉讼",IF($Q85="高风险","上门沟通 / 部门经理介入",IF($Q85="中风险","电话催收 / 周度跟进",IF($Q85="预警","提醒客户按期回款","持续跟踪"))))))</x:f>
      </x:c>
      <x:c r="S85" s="13" t="n"/>
      <x:c r="T85" s="12" t="n"/>
      <x:c r="U85" s="17">
        <x:f>IF($A85="","",IF($H85&lt;=0,0,IF($J85="",0,$J85*100000000+$H85*100+ROW()/1000)))</x:f>
      </x:c>
    </x:row>
    <x:row r="86">
      <x:c r="A86" s="12" t="n"/>
      <x:c r="B86" s="12" t="n"/>
      <x:c r="C86" s="12" t="n"/>
      <x:c r="D86" s="12" t="n"/>
      <x:c r="E86" s="12" t="n"/>
      <x:c r="F86" s="14" t="n"/>
      <x:c r="G86" s="14" t="n"/>
      <x:c r="H86" s="15">
        <x:f>IF(AND($F86="",$G86=""),"",MAX($F86-$G86,0))</x:f>
      </x:c>
      <x:c r="I86" s="13" t="n"/>
      <x:c r="J86" s="17">
        <x:f>IF($A86="","",IF(OR($I86="",$H86&lt;=0),"",MAX(TODAY()-$I86,0)))</x:f>
      </x:c>
      <x:c r="K86" s="17">
        <x:f>IF($A86="","",IF($H86&lt;=0,"已回清",IF($I86="","",IF($J86=0,"未到期",IF($J86&lt;=30,"1-30天",IF($J86&lt;=60,"31-60天",IF($J86&lt;=90,"61-90天","90天以上")))))))</x:f>
      </x:c>
      <x:c r="L86" s="14" t="n"/>
      <x:c r="M86" s="14" t="n"/>
      <x:c r="N86" s="16">
        <x:f>IF($A86="","",IF($F86="","",IF($F86=0,0,$G86/$F86)))</x:f>
      </x:c>
      <x:c r="O86" s="12" t="n"/>
      <x:c r="P86" s="16">
        <x:f>IF(OR($B86="",$H86=""),"",IFERROR($H86/VLOOKUP($B86,Customers!$A$2:$J$201,10,FALSE),""))</x:f>
      </x:c>
      <x:c r="Q86" s="17">
        <x:f>IF($A86="","",IF($H86&lt;=0,"已回清",IF($J86="","",IF($J86&gt;90,"坏账风险",IF($J86&gt;60,"高风险",IF($J86&gt;30,"中风险",IF($J86&gt;0,"预警","正常")))))))</x:f>
      </x:c>
      <x:c r="R86" s="17">
        <x:f>IF($A86="","",IF($Q86="","",IF($Q86="坏账风险","法务介入 / 准备诉讼",IF($Q86="高风险","上门沟通 / 部门经理介入",IF($Q86="中风险","电话催收 / 周度跟进",IF($Q86="预警","提醒客户按期回款","持续跟踪"))))))</x:f>
      </x:c>
      <x:c r="S86" s="13" t="n"/>
      <x:c r="T86" s="12" t="n"/>
      <x:c r="U86" s="17">
        <x:f>IF($A86="","",IF($H86&lt;=0,0,IF($J86="",0,$J86*100000000+$H86*100+ROW()/1000)))</x:f>
      </x:c>
    </x:row>
    <x:row r="87">
      <x:c r="A87" s="12" t="n"/>
      <x:c r="B87" s="12" t="n"/>
      <x:c r="C87" s="12" t="n"/>
      <x:c r="D87" s="12" t="n"/>
      <x:c r="E87" s="12" t="n"/>
      <x:c r="F87" s="14" t="n"/>
      <x:c r="G87" s="14" t="n"/>
      <x:c r="H87" s="15">
        <x:f>IF(AND($F87="",$G87=""),"",MAX($F87-$G87,0))</x:f>
      </x:c>
      <x:c r="I87" s="13" t="n"/>
      <x:c r="J87" s="17">
        <x:f>IF($A87="","",IF(OR($I87="",$H87&lt;=0),"",MAX(TODAY()-$I87,0)))</x:f>
      </x:c>
      <x:c r="K87" s="17">
        <x:f>IF($A87="","",IF($H87&lt;=0,"已回清",IF($I87="","",IF($J87=0,"未到期",IF($J87&lt;=30,"1-30天",IF($J87&lt;=60,"31-60天",IF($J87&lt;=90,"61-90天","90天以上")))))))</x:f>
      </x:c>
      <x:c r="L87" s="14" t="n"/>
      <x:c r="M87" s="14" t="n"/>
      <x:c r="N87" s="16">
        <x:f>IF($A87="","",IF($F87="","",IF($F87=0,0,$G87/$F87)))</x:f>
      </x:c>
      <x:c r="O87" s="12" t="n"/>
      <x:c r="P87" s="16">
        <x:f>IF(OR($B87="",$H87=""),"",IFERROR($H87/VLOOKUP($B87,Customers!$A$2:$J$201,10,FALSE),""))</x:f>
      </x:c>
      <x:c r="Q87" s="17">
        <x:f>IF($A87="","",IF($H87&lt;=0,"已回清",IF($J87="","",IF($J87&gt;90,"坏账风险",IF($J87&gt;60,"高风险",IF($J87&gt;30,"中风险",IF($J87&gt;0,"预警","正常")))))))</x:f>
      </x:c>
      <x:c r="R87" s="17">
        <x:f>IF($A87="","",IF($Q87="","",IF($Q87="坏账风险","法务介入 / 准备诉讼",IF($Q87="高风险","上门沟通 / 部门经理介入",IF($Q87="中风险","电话催收 / 周度跟进",IF($Q87="预警","提醒客户按期回款","持续跟踪"))))))</x:f>
      </x:c>
      <x:c r="S87" s="13" t="n"/>
      <x:c r="T87" s="12" t="n"/>
      <x:c r="U87" s="17">
        <x:f>IF($A87="","",IF($H87&lt;=0,0,IF($J87="",0,$J87*100000000+$H87*100+ROW()/1000)))</x:f>
      </x:c>
    </x:row>
    <x:row r="88">
      <x:c r="A88" s="12" t="n"/>
      <x:c r="B88" s="12" t="n"/>
      <x:c r="C88" s="12" t="n"/>
      <x:c r="D88" s="12" t="n"/>
      <x:c r="E88" s="12" t="n"/>
      <x:c r="F88" s="14" t="n"/>
      <x:c r="G88" s="14" t="n"/>
      <x:c r="H88" s="15">
        <x:f>IF(AND($F88="",$G88=""),"",MAX($F88-$G88,0))</x:f>
      </x:c>
      <x:c r="I88" s="13" t="n"/>
      <x:c r="J88" s="17">
        <x:f>IF($A88="","",IF(OR($I88="",$H88&lt;=0),"",MAX(TODAY()-$I88,0)))</x:f>
      </x:c>
      <x:c r="K88" s="17">
        <x:f>IF($A88="","",IF($H88&lt;=0,"已回清",IF($I88="","",IF($J88=0,"未到期",IF($J88&lt;=30,"1-30天",IF($J88&lt;=60,"31-60天",IF($J88&lt;=90,"61-90天","90天以上")))))))</x:f>
      </x:c>
      <x:c r="L88" s="14" t="n"/>
      <x:c r="M88" s="14" t="n"/>
      <x:c r="N88" s="16">
        <x:f>IF($A88="","",IF($F88="","",IF($F88=0,0,$G88/$F88)))</x:f>
      </x:c>
      <x:c r="O88" s="12" t="n"/>
      <x:c r="P88" s="16">
        <x:f>IF(OR($B88="",$H88=""),"",IFERROR($H88/VLOOKUP($B88,Customers!$A$2:$J$201,10,FALSE),""))</x:f>
      </x:c>
      <x:c r="Q88" s="17">
        <x:f>IF($A88="","",IF($H88&lt;=0,"已回清",IF($J88="","",IF($J88&gt;90,"坏账风险",IF($J88&gt;60,"高风险",IF($J88&gt;30,"中风险",IF($J88&gt;0,"预警","正常")))))))</x:f>
      </x:c>
      <x:c r="R88" s="17">
        <x:f>IF($A88="","",IF($Q88="","",IF($Q88="坏账风险","法务介入 / 准备诉讼",IF($Q88="高风险","上门沟通 / 部门经理介入",IF($Q88="中风险","电话催收 / 周度跟进",IF($Q88="预警","提醒客户按期回款","持续跟踪"))))))</x:f>
      </x:c>
      <x:c r="S88" s="13" t="n"/>
      <x:c r="T88" s="12" t="n"/>
      <x:c r="U88" s="17">
        <x:f>IF($A88="","",IF($H88&lt;=0,0,IF($J88="",0,$J88*100000000+$H88*100+ROW()/1000)))</x:f>
      </x:c>
    </x:row>
    <x:row r="89">
      <x:c r="A89" s="12" t="n"/>
      <x:c r="B89" s="12" t="n"/>
      <x:c r="C89" s="12" t="n"/>
      <x:c r="D89" s="12" t="n"/>
      <x:c r="E89" s="12" t="n"/>
      <x:c r="F89" s="14" t="n"/>
      <x:c r="G89" s="14" t="n"/>
      <x:c r="H89" s="15">
        <x:f>IF(AND($F89="",$G89=""),"",MAX($F89-$G89,0))</x:f>
      </x:c>
      <x:c r="I89" s="13" t="n"/>
      <x:c r="J89" s="17">
        <x:f>IF($A89="","",IF(OR($I89="",$H89&lt;=0),"",MAX(TODAY()-$I89,0)))</x:f>
      </x:c>
      <x:c r="K89" s="17">
        <x:f>IF($A89="","",IF($H89&lt;=0,"已回清",IF($I89="","",IF($J89=0,"未到期",IF($J89&lt;=30,"1-30天",IF($J89&lt;=60,"31-60天",IF($J89&lt;=90,"61-90天","90天以上")))))))</x:f>
      </x:c>
      <x:c r="L89" s="14" t="n"/>
      <x:c r="M89" s="14" t="n"/>
      <x:c r="N89" s="16">
        <x:f>IF($A89="","",IF($F89="","",IF($F89=0,0,$G89/$F89)))</x:f>
      </x:c>
      <x:c r="O89" s="12" t="n"/>
      <x:c r="P89" s="16">
        <x:f>IF(OR($B89="",$H89=""),"",IFERROR($H89/VLOOKUP($B89,Customers!$A$2:$J$201,10,FALSE),""))</x:f>
      </x:c>
      <x:c r="Q89" s="17">
        <x:f>IF($A89="","",IF($H89&lt;=0,"已回清",IF($J89="","",IF($J89&gt;90,"坏账风险",IF($J89&gt;60,"高风险",IF($J89&gt;30,"中风险",IF($J89&gt;0,"预警","正常")))))))</x:f>
      </x:c>
      <x:c r="R89" s="17">
        <x:f>IF($A89="","",IF($Q89="","",IF($Q89="坏账风险","法务介入 / 准备诉讼",IF($Q89="高风险","上门沟通 / 部门经理介入",IF($Q89="中风险","电话催收 / 周度跟进",IF($Q89="预警","提醒客户按期回款","持续跟踪"))))))</x:f>
      </x:c>
      <x:c r="S89" s="13" t="n"/>
      <x:c r="T89" s="12" t="n"/>
      <x:c r="U89" s="17">
        <x:f>IF($A89="","",IF($H89&lt;=0,0,IF($J89="",0,$J89*100000000+$H89*100+ROW()/1000)))</x:f>
      </x:c>
    </x:row>
    <x:row r="90">
      <x:c r="A90" s="12" t="n"/>
      <x:c r="B90" s="12" t="n"/>
      <x:c r="C90" s="12" t="n"/>
      <x:c r="D90" s="12" t="n"/>
      <x:c r="E90" s="12" t="n"/>
      <x:c r="F90" s="14" t="n"/>
      <x:c r="G90" s="14" t="n"/>
      <x:c r="H90" s="15">
        <x:f>IF(AND($F90="",$G90=""),"",MAX($F90-$G90,0))</x:f>
      </x:c>
      <x:c r="I90" s="13" t="n"/>
      <x:c r="J90" s="17">
        <x:f>IF($A90="","",IF(OR($I90="",$H90&lt;=0),"",MAX(TODAY()-$I90,0)))</x:f>
      </x:c>
      <x:c r="K90" s="17">
        <x:f>IF($A90="","",IF($H90&lt;=0,"已回清",IF($I90="","",IF($J90=0,"未到期",IF($J90&lt;=30,"1-30天",IF($J90&lt;=60,"31-60天",IF($J90&lt;=90,"61-90天","90天以上")))))))</x:f>
      </x:c>
      <x:c r="L90" s="14" t="n"/>
      <x:c r="M90" s="14" t="n"/>
      <x:c r="N90" s="16">
        <x:f>IF($A90="","",IF($F90="","",IF($F90=0,0,$G90/$F90)))</x:f>
      </x:c>
      <x:c r="O90" s="12" t="n"/>
      <x:c r="P90" s="16">
        <x:f>IF(OR($B90="",$H90=""),"",IFERROR($H90/VLOOKUP($B90,Customers!$A$2:$J$201,10,FALSE),""))</x:f>
      </x:c>
      <x:c r="Q90" s="17">
        <x:f>IF($A90="","",IF($H90&lt;=0,"已回清",IF($J90="","",IF($J90&gt;90,"坏账风险",IF($J90&gt;60,"高风险",IF($J90&gt;30,"中风险",IF($J90&gt;0,"预警","正常")))))))</x:f>
      </x:c>
      <x:c r="R90" s="17">
        <x:f>IF($A90="","",IF($Q90="","",IF($Q90="坏账风险","法务介入 / 准备诉讼",IF($Q90="高风险","上门沟通 / 部门经理介入",IF($Q90="中风险","电话催收 / 周度跟进",IF($Q90="预警","提醒客户按期回款","持续跟踪"))))))</x:f>
      </x:c>
      <x:c r="S90" s="13" t="n"/>
      <x:c r="T90" s="12" t="n"/>
      <x:c r="U90" s="17">
        <x:f>IF($A90="","",IF($H90&lt;=0,0,IF($J90="",0,$J90*100000000+$H90*100+ROW()/1000)))</x:f>
      </x:c>
    </x:row>
    <x:row r="91">
      <x:c r="A91" s="12" t="n"/>
      <x:c r="B91" s="12" t="n"/>
      <x:c r="C91" s="12" t="n"/>
      <x:c r="D91" s="12" t="n"/>
      <x:c r="E91" s="12" t="n"/>
      <x:c r="F91" s="14" t="n"/>
      <x:c r="G91" s="14" t="n"/>
      <x:c r="H91" s="15">
        <x:f>IF(AND($F91="",$G91=""),"",MAX($F91-$G91,0))</x:f>
      </x:c>
      <x:c r="I91" s="13" t="n"/>
      <x:c r="J91" s="17">
        <x:f>IF($A91="","",IF(OR($I91="",$H91&lt;=0),"",MAX(TODAY()-$I91,0)))</x:f>
      </x:c>
      <x:c r="K91" s="17">
        <x:f>IF($A91="","",IF($H91&lt;=0,"已回清",IF($I91="","",IF($J91=0,"未到期",IF($J91&lt;=30,"1-30天",IF($J91&lt;=60,"31-60天",IF($J91&lt;=90,"61-90天","90天以上")))))))</x:f>
      </x:c>
      <x:c r="L91" s="14" t="n"/>
      <x:c r="M91" s="14" t="n"/>
      <x:c r="N91" s="16">
        <x:f>IF($A91="","",IF($F91="","",IF($F91=0,0,$G91/$F91)))</x:f>
      </x:c>
      <x:c r="O91" s="12" t="n"/>
      <x:c r="P91" s="16">
        <x:f>IF(OR($B91="",$H91=""),"",IFERROR($H91/VLOOKUP($B91,Customers!$A$2:$J$201,10,FALSE),""))</x:f>
      </x:c>
      <x:c r="Q91" s="17">
        <x:f>IF($A91="","",IF($H91&lt;=0,"已回清",IF($J91="","",IF($J91&gt;90,"坏账风险",IF($J91&gt;60,"高风险",IF($J91&gt;30,"中风险",IF($J91&gt;0,"预警","正常")))))))</x:f>
      </x:c>
      <x:c r="R91" s="17">
        <x:f>IF($A91="","",IF($Q91="","",IF($Q91="坏账风险","法务介入 / 准备诉讼",IF($Q91="高风险","上门沟通 / 部门经理介入",IF($Q91="中风险","电话催收 / 周度跟进",IF($Q91="预警","提醒客户按期回款","持续跟踪"))))))</x:f>
      </x:c>
      <x:c r="S91" s="13" t="n"/>
      <x:c r="T91" s="12" t="n"/>
      <x:c r="U91" s="17">
        <x:f>IF($A91="","",IF($H91&lt;=0,0,IF($J91="",0,$J91*100000000+$H91*100+ROW()/1000)))</x:f>
      </x:c>
    </x:row>
    <x:row r="92">
      <x:c r="A92" s="12" t="n"/>
      <x:c r="B92" s="12" t="n"/>
      <x:c r="C92" s="12" t="n"/>
      <x:c r="D92" s="12" t="n"/>
      <x:c r="E92" s="12" t="n"/>
      <x:c r="F92" s="14" t="n"/>
      <x:c r="G92" s="14" t="n"/>
      <x:c r="H92" s="15">
        <x:f>IF(AND($F92="",$G92=""),"",MAX($F92-$G92,0))</x:f>
      </x:c>
      <x:c r="I92" s="13" t="n"/>
      <x:c r="J92" s="17">
        <x:f>IF($A92="","",IF(OR($I92="",$H92&lt;=0),"",MAX(TODAY()-$I92,0)))</x:f>
      </x:c>
      <x:c r="K92" s="17">
        <x:f>IF($A92="","",IF($H92&lt;=0,"已回清",IF($I92="","",IF($J92=0,"未到期",IF($J92&lt;=30,"1-30天",IF($J92&lt;=60,"31-60天",IF($J92&lt;=90,"61-90天","90天以上")))))))</x:f>
      </x:c>
      <x:c r="L92" s="14" t="n"/>
      <x:c r="M92" s="14" t="n"/>
      <x:c r="N92" s="16">
        <x:f>IF($A92="","",IF($F92="","",IF($F92=0,0,$G92/$F92)))</x:f>
      </x:c>
      <x:c r="O92" s="12" t="n"/>
      <x:c r="P92" s="16">
        <x:f>IF(OR($B92="",$H92=""),"",IFERROR($H92/VLOOKUP($B92,Customers!$A$2:$J$201,10,FALSE),""))</x:f>
      </x:c>
      <x:c r="Q92" s="17">
        <x:f>IF($A92="","",IF($H92&lt;=0,"已回清",IF($J92="","",IF($J92&gt;90,"坏账风险",IF($J92&gt;60,"高风险",IF($J92&gt;30,"中风险",IF($J92&gt;0,"预警","正常")))))))</x:f>
      </x:c>
      <x:c r="R92" s="17">
        <x:f>IF($A92="","",IF($Q92="","",IF($Q92="坏账风险","法务介入 / 准备诉讼",IF($Q92="高风险","上门沟通 / 部门经理介入",IF($Q92="中风险","电话催收 / 周度跟进",IF($Q92="预警","提醒客户按期回款","持续跟踪"))))))</x:f>
      </x:c>
      <x:c r="S92" s="13" t="n"/>
      <x:c r="T92" s="12" t="n"/>
      <x:c r="U92" s="17">
        <x:f>IF($A92="","",IF($H92&lt;=0,0,IF($J92="",0,$J92*100000000+$H92*100+ROW()/1000)))</x:f>
      </x:c>
    </x:row>
    <x:row r="93">
      <x:c r="A93" s="12" t="n"/>
      <x:c r="B93" s="12" t="n"/>
      <x:c r="C93" s="12" t="n"/>
      <x:c r="D93" s="12" t="n"/>
      <x:c r="E93" s="12" t="n"/>
      <x:c r="F93" s="14" t="n"/>
      <x:c r="G93" s="14" t="n"/>
      <x:c r="H93" s="15">
        <x:f>IF(AND($F93="",$G93=""),"",MAX($F93-$G93,0))</x:f>
      </x:c>
      <x:c r="I93" s="13" t="n"/>
      <x:c r="J93" s="17">
        <x:f>IF($A93="","",IF(OR($I93="",$H93&lt;=0),"",MAX(TODAY()-$I93,0)))</x:f>
      </x:c>
      <x:c r="K93" s="17">
        <x:f>IF($A93="","",IF($H93&lt;=0,"已回清",IF($I93="","",IF($J93=0,"未到期",IF($J93&lt;=30,"1-30天",IF($J93&lt;=60,"31-60天",IF($J93&lt;=90,"61-90天","90天以上")))))))</x:f>
      </x:c>
      <x:c r="L93" s="14" t="n"/>
      <x:c r="M93" s="14" t="n"/>
      <x:c r="N93" s="16">
        <x:f>IF($A93="","",IF($F93="","",IF($F93=0,0,$G93/$F93)))</x:f>
      </x:c>
      <x:c r="O93" s="12" t="n"/>
      <x:c r="P93" s="16">
        <x:f>IF(OR($B93="",$H93=""),"",IFERROR($H93/VLOOKUP($B93,Customers!$A$2:$J$201,10,FALSE),""))</x:f>
      </x:c>
      <x:c r="Q93" s="17">
        <x:f>IF($A93="","",IF($H93&lt;=0,"已回清",IF($J93="","",IF($J93&gt;90,"坏账风险",IF($J93&gt;60,"高风险",IF($J93&gt;30,"中风险",IF($J93&gt;0,"预警","正常")))))))</x:f>
      </x:c>
      <x:c r="R93" s="17">
        <x:f>IF($A93="","",IF($Q93="","",IF($Q93="坏账风险","法务介入 / 准备诉讼",IF($Q93="高风险","上门沟通 / 部门经理介入",IF($Q93="中风险","电话催收 / 周度跟进",IF($Q93="预警","提醒客户按期回款","持续跟踪"))))))</x:f>
      </x:c>
      <x:c r="S93" s="13" t="n"/>
      <x:c r="T93" s="12" t="n"/>
      <x:c r="U93" s="17">
        <x:f>IF($A93="","",IF($H93&lt;=0,0,IF($J93="",0,$J93*100000000+$H93*100+ROW()/1000)))</x:f>
      </x:c>
    </x:row>
    <x:row r="94">
      <x:c r="A94" s="12" t="n"/>
      <x:c r="B94" s="12" t="n"/>
      <x:c r="C94" s="12" t="n"/>
      <x:c r="D94" s="12" t="n"/>
      <x:c r="E94" s="12" t="n"/>
      <x:c r="F94" s="14" t="n"/>
      <x:c r="G94" s="14" t="n"/>
      <x:c r="H94" s="15">
        <x:f>IF(AND($F94="",$G94=""),"",MAX($F94-$G94,0))</x:f>
      </x:c>
      <x:c r="I94" s="13" t="n"/>
      <x:c r="J94" s="17">
        <x:f>IF($A94="","",IF(OR($I94="",$H94&lt;=0),"",MAX(TODAY()-$I94,0)))</x:f>
      </x:c>
      <x:c r="K94" s="17">
        <x:f>IF($A94="","",IF($H94&lt;=0,"已回清",IF($I94="","",IF($J94=0,"未到期",IF($J94&lt;=30,"1-30天",IF($J94&lt;=60,"31-60天",IF($J94&lt;=90,"61-90天","90天以上")))))))</x:f>
      </x:c>
      <x:c r="L94" s="14" t="n"/>
      <x:c r="M94" s="14" t="n"/>
      <x:c r="N94" s="16">
        <x:f>IF($A94="","",IF($F94="","",IF($F94=0,0,$G94/$F94)))</x:f>
      </x:c>
      <x:c r="O94" s="12" t="n"/>
      <x:c r="P94" s="16">
        <x:f>IF(OR($B94="",$H94=""),"",IFERROR($H94/VLOOKUP($B94,Customers!$A$2:$J$201,10,FALSE),""))</x:f>
      </x:c>
      <x:c r="Q94" s="17">
        <x:f>IF($A94="","",IF($H94&lt;=0,"已回清",IF($J94="","",IF($J94&gt;90,"坏账风险",IF($J94&gt;60,"高风险",IF($J94&gt;30,"中风险",IF($J94&gt;0,"预警","正常")))))))</x:f>
      </x:c>
      <x:c r="R94" s="17">
        <x:f>IF($A94="","",IF($Q94="","",IF($Q94="坏账风险","法务介入 / 准备诉讼",IF($Q94="高风险","上门沟通 / 部门经理介入",IF($Q94="中风险","电话催收 / 周度跟进",IF($Q94="预警","提醒客户按期回款","持续跟踪"))))))</x:f>
      </x:c>
      <x:c r="S94" s="13" t="n"/>
      <x:c r="T94" s="12" t="n"/>
      <x:c r="U94" s="17">
        <x:f>IF($A94="","",IF($H94&lt;=0,0,IF($J94="",0,$J94*100000000+$H94*100+ROW()/1000)))</x:f>
      </x:c>
    </x:row>
    <x:row r="95">
      <x:c r="A95" s="12" t="n"/>
      <x:c r="B95" s="12" t="n"/>
      <x:c r="C95" s="12" t="n"/>
      <x:c r="D95" s="12" t="n"/>
      <x:c r="E95" s="12" t="n"/>
      <x:c r="F95" s="14" t="n"/>
      <x:c r="G95" s="14" t="n"/>
      <x:c r="H95" s="15">
        <x:f>IF(AND($F95="",$G95=""),"",MAX($F95-$G95,0))</x:f>
      </x:c>
      <x:c r="I95" s="13" t="n"/>
      <x:c r="J95" s="17">
        <x:f>IF($A95="","",IF(OR($I95="",$H95&lt;=0),"",MAX(TODAY()-$I95,0)))</x:f>
      </x:c>
      <x:c r="K95" s="17">
        <x:f>IF($A95="","",IF($H95&lt;=0,"已回清",IF($I95="","",IF($J95=0,"未到期",IF($J95&lt;=30,"1-30天",IF($J95&lt;=60,"31-60天",IF($J95&lt;=90,"61-90天","90天以上")))))))</x:f>
      </x:c>
      <x:c r="L95" s="14" t="n"/>
      <x:c r="M95" s="14" t="n"/>
      <x:c r="N95" s="16">
        <x:f>IF($A95="","",IF($F95="","",IF($F95=0,0,$G95/$F95)))</x:f>
      </x:c>
      <x:c r="O95" s="12" t="n"/>
      <x:c r="P95" s="16">
        <x:f>IF(OR($B95="",$H95=""),"",IFERROR($H95/VLOOKUP($B95,Customers!$A$2:$J$201,10,FALSE),""))</x:f>
      </x:c>
      <x:c r="Q95" s="17">
        <x:f>IF($A95="","",IF($H95&lt;=0,"已回清",IF($J95="","",IF($J95&gt;90,"坏账风险",IF($J95&gt;60,"高风险",IF($J95&gt;30,"中风险",IF($J95&gt;0,"预警","正常")))))))</x:f>
      </x:c>
      <x:c r="R95" s="17">
        <x:f>IF($A95="","",IF($Q95="","",IF($Q95="坏账风险","法务介入 / 准备诉讼",IF($Q95="高风险","上门沟通 / 部门经理介入",IF($Q95="中风险","电话催收 / 周度跟进",IF($Q95="预警","提醒客户按期回款","持续跟踪"))))))</x:f>
      </x:c>
      <x:c r="S95" s="13" t="n"/>
      <x:c r="T95" s="12" t="n"/>
      <x:c r="U95" s="17">
        <x:f>IF($A95="","",IF($H95&lt;=0,0,IF($J95="",0,$J95*100000000+$H95*100+ROW()/1000)))</x:f>
      </x:c>
    </x:row>
    <x:row r="96">
      <x:c r="A96" s="12" t="n"/>
      <x:c r="B96" s="12" t="n"/>
      <x:c r="C96" s="12" t="n"/>
      <x:c r="D96" s="12" t="n"/>
      <x:c r="E96" s="12" t="n"/>
      <x:c r="F96" s="14" t="n"/>
      <x:c r="G96" s="14" t="n"/>
      <x:c r="H96" s="15">
        <x:f>IF(AND($F96="",$G96=""),"",MAX($F96-$G96,0))</x:f>
      </x:c>
      <x:c r="I96" s="13" t="n"/>
      <x:c r="J96" s="17">
        <x:f>IF($A96="","",IF(OR($I96="",$H96&lt;=0),"",MAX(TODAY()-$I96,0)))</x:f>
      </x:c>
      <x:c r="K96" s="17">
        <x:f>IF($A96="","",IF($H96&lt;=0,"已回清",IF($I96="","",IF($J96=0,"未到期",IF($J96&lt;=30,"1-30天",IF($J96&lt;=60,"31-60天",IF($J96&lt;=90,"61-90天","90天以上")))))))</x:f>
      </x:c>
      <x:c r="L96" s="14" t="n"/>
      <x:c r="M96" s="14" t="n"/>
      <x:c r="N96" s="16">
        <x:f>IF($A96="","",IF($F96="","",IF($F96=0,0,$G96/$F96)))</x:f>
      </x:c>
      <x:c r="O96" s="12" t="n"/>
      <x:c r="P96" s="16">
        <x:f>IF(OR($B96="",$H96=""),"",IFERROR($H96/VLOOKUP($B96,Customers!$A$2:$J$201,10,FALSE),""))</x:f>
      </x:c>
      <x:c r="Q96" s="17">
        <x:f>IF($A96="","",IF($H96&lt;=0,"已回清",IF($J96="","",IF($J96&gt;90,"坏账风险",IF($J96&gt;60,"高风险",IF($J96&gt;30,"中风险",IF($J96&gt;0,"预警","正常")))))))</x:f>
      </x:c>
      <x:c r="R96" s="17">
        <x:f>IF($A96="","",IF($Q96="","",IF($Q96="坏账风险","法务介入 / 准备诉讼",IF($Q96="高风险","上门沟通 / 部门经理介入",IF($Q96="中风险","电话催收 / 周度跟进",IF($Q96="预警","提醒客户按期回款","持续跟踪"))))))</x:f>
      </x:c>
      <x:c r="S96" s="13" t="n"/>
      <x:c r="T96" s="12" t="n"/>
      <x:c r="U96" s="17">
        <x:f>IF($A96="","",IF($H96&lt;=0,0,IF($J96="",0,$J96*100000000+$H96*100+ROW()/1000)))</x:f>
      </x:c>
    </x:row>
    <x:row r="97">
      <x:c r="A97" s="12" t="n"/>
      <x:c r="B97" s="12" t="n"/>
      <x:c r="C97" s="12" t="n"/>
      <x:c r="D97" s="12" t="n"/>
      <x:c r="E97" s="12" t="n"/>
      <x:c r="F97" s="14" t="n"/>
      <x:c r="G97" s="14" t="n"/>
      <x:c r="H97" s="15">
        <x:f>IF(AND($F97="",$G97=""),"",MAX($F97-$G97,0))</x:f>
      </x:c>
      <x:c r="I97" s="13" t="n"/>
      <x:c r="J97" s="17">
        <x:f>IF($A97="","",IF(OR($I97="",$H97&lt;=0),"",MAX(TODAY()-$I97,0)))</x:f>
      </x:c>
      <x:c r="K97" s="17">
        <x:f>IF($A97="","",IF($H97&lt;=0,"已回清",IF($I97="","",IF($J97=0,"未到期",IF($J97&lt;=30,"1-30天",IF($J97&lt;=60,"31-60天",IF($J97&lt;=90,"61-90天","90天以上")))))))</x:f>
      </x:c>
      <x:c r="L97" s="14" t="n"/>
      <x:c r="M97" s="14" t="n"/>
      <x:c r="N97" s="16">
        <x:f>IF($A97="","",IF($F97="","",IF($F97=0,0,$G97/$F97)))</x:f>
      </x:c>
      <x:c r="O97" s="12" t="n"/>
      <x:c r="P97" s="16">
        <x:f>IF(OR($B97="",$H97=""),"",IFERROR($H97/VLOOKUP($B97,Customers!$A$2:$J$201,10,FALSE),""))</x:f>
      </x:c>
      <x:c r="Q97" s="17">
        <x:f>IF($A97="","",IF($H97&lt;=0,"已回清",IF($J97="","",IF($J97&gt;90,"坏账风险",IF($J97&gt;60,"高风险",IF($J97&gt;30,"中风险",IF($J97&gt;0,"预警","正常")))))))</x:f>
      </x:c>
      <x:c r="R97" s="17">
        <x:f>IF($A97="","",IF($Q97="","",IF($Q97="坏账风险","法务介入 / 准备诉讼",IF($Q97="高风险","上门沟通 / 部门经理介入",IF($Q97="中风险","电话催收 / 周度跟进",IF($Q97="预警","提醒客户按期回款","持续跟踪"))))))</x:f>
      </x:c>
      <x:c r="S97" s="13" t="n"/>
      <x:c r="T97" s="12" t="n"/>
      <x:c r="U97" s="17">
        <x:f>IF($A97="","",IF($H97&lt;=0,0,IF($J97="",0,$J97*100000000+$H97*100+ROW()/1000)))</x:f>
      </x:c>
    </x:row>
    <x:row r="98">
      <x:c r="A98" s="12" t="n"/>
      <x:c r="B98" s="12" t="n"/>
      <x:c r="C98" s="12" t="n"/>
      <x:c r="D98" s="12" t="n"/>
      <x:c r="E98" s="12" t="n"/>
      <x:c r="F98" s="14" t="n"/>
      <x:c r="G98" s="14" t="n"/>
      <x:c r="H98" s="15">
        <x:f>IF(AND($F98="",$G98=""),"",MAX($F98-$G98,0))</x:f>
      </x:c>
      <x:c r="I98" s="13" t="n"/>
      <x:c r="J98" s="17">
        <x:f>IF($A98="","",IF(OR($I98="",$H98&lt;=0),"",MAX(TODAY()-$I98,0)))</x:f>
      </x:c>
      <x:c r="K98" s="17">
        <x:f>IF($A98="","",IF($H98&lt;=0,"已回清",IF($I98="","",IF($J98=0,"未到期",IF($J98&lt;=30,"1-30天",IF($J98&lt;=60,"31-60天",IF($J98&lt;=90,"61-90天","90天以上")))))))</x:f>
      </x:c>
      <x:c r="L98" s="14" t="n"/>
      <x:c r="M98" s="14" t="n"/>
      <x:c r="N98" s="16">
        <x:f>IF($A98="","",IF($F98="","",IF($F98=0,0,$G98/$F98)))</x:f>
      </x:c>
      <x:c r="O98" s="12" t="n"/>
      <x:c r="P98" s="16">
        <x:f>IF(OR($B98="",$H98=""),"",IFERROR($H98/VLOOKUP($B98,Customers!$A$2:$J$201,10,FALSE),""))</x:f>
      </x:c>
      <x:c r="Q98" s="17">
        <x:f>IF($A98="","",IF($H98&lt;=0,"已回清",IF($J98="","",IF($J98&gt;90,"坏账风险",IF($J98&gt;60,"高风险",IF($J98&gt;30,"中风险",IF($J98&gt;0,"预警","正常")))))))</x:f>
      </x:c>
      <x:c r="R98" s="17">
        <x:f>IF($A98="","",IF($Q98="","",IF($Q98="坏账风险","法务介入 / 准备诉讼",IF($Q98="高风险","上门沟通 / 部门经理介入",IF($Q98="中风险","电话催收 / 周度跟进",IF($Q98="预警","提醒客户按期回款","持续跟踪"))))))</x:f>
      </x:c>
      <x:c r="S98" s="13" t="n"/>
      <x:c r="T98" s="12" t="n"/>
      <x:c r="U98" s="17">
        <x:f>IF($A98="","",IF($H98&lt;=0,0,IF($J98="",0,$J98*100000000+$H98*100+ROW()/1000)))</x:f>
      </x:c>
    </x:row>
    <x:row r="99">
      <x:c r="A99" s="12" t="n"/>
      <x:c r="B99" s="12" t="n"/>
      <x:c r="C99" s="12" t="n"/>
      <x:c r="D99" s="12" t="n"/>
      <x:c r="E99" s="12" t="n"/>
      <x:c r="F99" s="14" t="n"/>
      <x:c r="G99" s="14" t="n"/>
      <x:c r="H99" s="15">
        <x:f>IF(AND($F99="",$G99=""),"",MAX($F99-$G99,0))</x:f>
      </x:c>
      <x:c r="I99" s="13" t="n"/>
      <x:c r="J99" s="17">
        <x:f>IF($A99="","",IF(OR($I99="",$H99&lt;=0),"",MAX(TODAY()-$I99,0)))</x:f>
      </x:c>
      <x:c r="K99" s="17">
        <x:f>IF($A99="","",IF($H99&lt;=0,"已回清",IF($I99="","",IF($J99=0,"未到期",IF($J99&lt;=30,"1-30天",IF($J99&lt;=60,"31-60天",IF($J99&lt;=90,"61-90天","90天以上")))))))</x:f>
      </x:c>
      <x:c r="L99" s="14" t="n"/>
      <x:c r="M99" s="14" t="n"/>
      <x:c r="N99" s="16">
        <x:f>IF($A99="","",IF($F99="","",IF($F99=0,0,$G99/$F99)))</x:f>
      </x:c>
      <x:c r="O99" s="12" t="n"/>
      <x:c r="P99" s="16">
        <x:f>IF(OR($B99="",$H99=""),"",IFERROR($H99/VLOOKUP($B99,Customers!$A$2:$J$201,10,FALSE),""))</x:f>
      </x:c>
      <x:c r="Q99" s="17">
        <x:f>IF($A99="","",IF($H99&lt;=0,"已回清",IF($J99="","",IF($J99&gt;90,"坏账风险",IF($J99&gt;60,"高风险",IF($J99&gt;30,"中风险",IF($J99&gt;0,"预警","正常")))))))</x:f>
      </x:c>
      <x:c r="R99" s="17">
        <x:f>IF($A99="","",IF($Q99="","",IF($Q99="坏账风险","法务介入 / 准备诉讼",IF($Q99="高风险","上门沟通 / 部门经理介入",IF($Q99="中风险","电话催收 / 周度跟进",IF($Q99="预警","提醒客户按期回款","持续跟踪"))))))</x:f>
      </x:c>
      <x:c r="S99" s="13" t="n"/>
      <x:c r="T99" s="12" t="n"/>
      <x:c r="U99" s="17">
        <x:f>IF($A99="","",IF($H99&lt;=0,0,IF($J99="",0,$J99*100000000+$H99*100+ROW()/1000)))</x:f>
      </x:c>
    </x:row>
    <x:row r="100">
      <x:c r="A100" s="12" t="n"/>
      <x:c r="B100" s="12" t="n"/>
      <x:c r="C100" s="12" t="n"/>
      <x:c r="D100" s="12" t="n"/>
      <x:c r="E100" s="12" t="n"/>
      <x:c r="F100" s="14" t="n"/>
      <x:c r="G100" s="14" t="n"/>
      <x:c r="H100" s="15">
        <x:f>IF(AND($F100="",$G100=""),"",MAX($F100-$G100,0))</x:f>
      </x:c>
      <x:c r="I100" s="13" t="n"/>
      <x:c r="J100" s="17">
        <x:f>IF($A100="","",IF(OR($I100="",$H100&lt;=0),"",MAX(TODAY()-$I100,0)))</x:f>
      </x:c>
      <x:c r="K100" s="17">
        <x:f>IF($A100="","",IF($H100&lt;=0,"已回清",IF($I100="","",IF($J100=0,"未到期",IF($J100&lt;=30,"1-30天",IF($J100&lt;=60,"31-60天",IF($J100&lt;=90,"61-90天","90天以上")))))))</x:f>
      </x:c>
      <x:c r="L100" s="14" t="n"/>
      <x:c r="M100" s="14" t="n"/>
      <x:c r="N100" s="16">
        <x:f>IF($A100="","",IF($F100="","",IF($F100=0,0,$G100/$F100)))</x:f>
      </x:c>
      <x:c r="O100" s="12" t="n"/>
      <x:c r="P100" s="16">
        <x:f>IF(OR($B100="",$H100=""),"",IFERROR($H100/VLOOKUP($B100,Customers!$A$2:$J$201,10,FALSE),""))</x:f>
      </x:c>
      <x:c r="Q100" s="17">
        <x:f>IF($A100="","",IF($H100&lt;=0,"已回清",IF($J100="","",IF($J100&gt;90,"坏账风险",IF($J100&gt;60,"高风险",IF($J100&gt;30,"中风险",IF($J100&gt;0,"预警","正常")))))))</x:f>
      </x:c>
      <x:c r="R100" s="17">
        <x:f>IF($A100="","",IF($Q100="","",IF($Q100="坏账风险","法务介入 / 准备诉讼",IF($Q100="高风险","上门沟通 / 部门经理介入",IF($Q100="中风险","电话催收 / 周度跟进",IF($Q100="预警","提醒客户按期回款","持续跟踪"))))))</x:f>
      </x:c>
      <x:c r="S100" s="13" t="n"/>
      <x:c r="T100" s="12" t="n"/>
      <x:c r="U100" s="17">
        <x:f>IF($A100="","",IF($H100&lt;=0,0,IF($J100="",0,$J100*100000000+$H100*100+ROW()/1000)))</x:f>
      </x:c>
    </x:row>
    <x:row r="101">
      <x:c r="A101" s="12" t="n"/>
      <x:c r="B101" s="12" t="n"/>
      <x:c r="C101" s="12" t="n"/>
      <x:c r="D101" s="12" t="n"/>
      <x:c r="E101" s="12" t="n"/>
      <x:c r="F101" s="14" t="n"/>
      <x:c r="G101" s="14" t="n"/>
      <x:c r="H101" s="15">
        <x:f>IF(AND($F101="",$G101=""),"",MAX($F101-$G101,0))</x:f>
      </x:c>
      <x:c r="I101" s="13" t="n"/>
      <x:c r="J101" s="17">
        <x:f>IF($A101="","",IF(OR($I101="",$H101&lt;=0),"",MAX(TODAY()-$I101,0)))</x:f>
      </x:c>
      <x:c r="K101" s="17">
        <x:f>IF($A101="","",IF($H101&lt;=0,"已回清",IF($I101="","",IF($J101=0,"未到期",IF($J101&lt;=30,"1-30天",IF($J101&lt;=60,"31-60天",IF($J101&lt;=90,"61-90天","90天以上")))))))</x:f>
      </x:c>
      <x:c r="L101" s="14" t="n"/>
      <x:c r="M101" s="14" t="n"/>
      <x:c r="N101" s="16">
        <x:f>IF($A101="","",IF($F101="","",IF($F101=0,0,$G101/$F101)))</x:f>
      </x:c>
      <x:c r="O101" s="12" t="n"/>
      <x:c r="P101" s="16">
        <x:f>IF(OR($B101="",$H101=""),"",IFERROR($H101/VLOOKUP($B101,Customers!$A$2:$J$201,10,FALSE),""))</x:f>
      </x:c>
      <x:c r="Q101" s="17">
        <x:f>IF($A101="","",IF($H101&lt;=0,"已回清",IF($J101="","",IF($J101&gt;90,"坏账风险",IF($J101&gt;60,"高风险",IF($J101&gt;30,"中风险",IF($J101&gt;0,"预警","正常")))))))</x:f>
      </x:c>
      <x:c r="R101" s="17">
        <x:f>IF($A101="","",IF($Q101="","",IF($Q101="坏账风险","法务介入 / 准备诉讼",IF($Q101="高风险","上门沟通 / 部门经理介入",IF($Q101="中风险","电话催收 / 周度跟进",IF($Q101="预警","提醒客户按期回款","持续跟踪"))))))</x:f>
      </x:c>
      <x:c r="S101" s="13" t="n"/>
      <x:c r="T101" s="12" t="n"/>
      <x:c r="U101" s="17">
        <x:f>IF($A101="","",IF($H101&lt;=0,0,IF($J101="",0,$J101*100000000+$H101*100+ROW()/1000)))</x:f>
      </x:c>
    </x:row>
    <x:row r="102">
      <x:c r="A102" s="12" t="n"/>
      <x:c r="B102" s="12" t="n"/>
      <x:c r="C102" s="12" t="n"/>
      <x:c r="D102" s="12" t="n"/>
      <x:c r="E102" s="12" t="n"/>
      <x:c r="F102" s="14" t="n"/>
      <x:c r="G102" s="14" t="n"/>
      <x:c r="H102" s="15">
        <x:f>IF(AND($F102="",$G102=""),"",MAX($F102-$G102,0))</x:f>
      </x:c>
      <x:c r="I102" s="13" t="n"/>
      <x:c r="J102" s="17">
        <x:f>IF($A102="","",IF(OR($I102="",$H102&lt;=0),"",MAX(TODAY()-$I102,0)))</x:f>
      </x:c>
      <x:c r="K102" s="17">
        <x:f>IF($A102="","",IF($H102&lt;=0,"已回清",IF($I102="","",IF($J102=0,"未到期",IF($J102&lt;=30,"1-30天",IF($J102&lt;=60,"31-60天",IF($J102&lt;=90,"61-90天","90天以上")))))))</x:f>
      </x:c>
      <x:c r="L102" s="14" t="n"/>
      <x:c r="M102" s="14" t="n"/>
      <x:c r="N102" s="16">
        <x:f>IF($A102="","",IF($F102="","",IF($F102=0,0,$G102/$F102)))</x:f>
      </x:c>
      <x:c r="O102" s="12" t="n"/>
      <x:c r="P102" s="16">
        <x:f>IF(OR($B102="",$H102=""),"",IFERROR($H102/VLOOKUP($B102,Customers!$A$2:$J$201,10,FALSE),""))</x:f>
      </x:c>
      <x:c r="Q102" s="17">
        <x:f>IF($A102="","",IF($H102&lt;=0,"已回清",IF($J102="","",IF($J102&gt;90,"坏账风险",IF($J102&gt;60,"高风险",IF($J102&gt;30,"中风险",IF($J102&gt;0,"预警","正常")))))))</x:f>
      </x:c>
      <x:c r="R102" s="17">
        <x:f>IF($A102="","",IF($Q102="","",IF($Q102="坏账风险","法务介入 / 准备诉讼",IF($Q102="高风险","上门沟通 / 部门经理介入",IF($Q102="中风险","电话催收 / 周度跟进",IF($Q102="预警","提醒客户按期回款","持续跟踪"))))))</x:f>
      </x:c>
      <x:c r="S102" s="13" t="n"/>
      <x:c r="T102" s="12" t="n"/>
      <x:c r="U102" s="17">
        <x:f>IF($A102="","",IF($H102&lt;=0,0,IF($J102="",0,$J102*100000000+$H102*100+ROW()/1000)))</x:f>
      </x:c>
    </x:row>
    <x:row r="103">
      <x:c r="A103" s="12" t="n"/>
      <x:c r="B103" s="12" t="n"/>
      <x:c r="C103" s="12" t="n"/>
      <x:c r="D103" s="12" t="n"/>
      <x:c r="E103" s="12" t="n"/>
      <x:c r="F103" s="14" t="n"/>
      <x:c r="G103" s="14" t="n"/>
      <x:c r="H103" s="15">
        <x:f>IF(AND($F103="",$G103=""),"",MAX($F103-$G103,0))</x:f>
      </x:c>
      <x:c r="I103" s="13" t="n"/>
      <x:c r="J103" s="17">
        <x:f>IF($A103="","",IF(OR($I103="",$H103&lt;=0),"",MAX(TODAY()-$I103,0)))</x:f>
      </x:c>
      <x:c r="K103" s="17">
        <x:f>IF($A103="","",IF($H103&lt;=0,"已回清",IF($I103="","",IF($J103=0,"未到期",IF($J103&lt;=30,"1-30天",IF($J103&lt;=60,"31-60天",IF($J103&lt;=90,"61-90天","90天以上")))))))</x:f>
      </x:c>
      <x:c r="L103" s="14" t="n"/>
      <x:c r="M103" s="14" t="n"/>
      <x:c r="N103" s="16">
        <x:f>IF($A103="","",IF($F103="","",IF($F103=0,0,$G103/$F103)))</x:f>
      </x:c>
      <x:c r="O103" s="12" t="n"/>
      <x:c r="P103" s="16">
        <x:f>IF(OR($B103="",$H103=""),"",IFERROR($H103/VLOOKUP($B103,Customers!$A$2:$J$201,10,FALSE),""))</x:f>
      </x:c>
      <x:c r="Q103" s="17">
        <x:f>IF($A103="","",IF($H103&lt;=0,"已回清",IF($J103="","",IF($J103&gt;90,"坏账风险",IF($J103&gt;60,"高风险",IF($J103&gt;30,"中风险",IF($J103&gt;0,"预警","正常")))))))</x:f>
      </x:c>
      <x:c r="R103" s="17">
        <x:f>IF($A103="","",IF($Q103="","",IF($Q103="坏账风险","法务介入 / 准备诉讼",IF($Q103="高风险","上门沟通 / 部门经理介入",IF($Q103="中风险","电话催收 / 周度跟进",IF($Q103="预警","提醒客户按期回款","持续跟踪"))))))</x:f>
      </x:c>
      <x:c r="S103" s="13" t="n"/>
      <x:c r="T103" s="12" t="n"/>
      <x:c r="U103" s="17">
        <x:f>IF($A103="","",IF($H103&lt;=0,0,IF($J103="",0,$J103*100000000+$H103*100+ROW()/1000)))</x:f>
      </x:c>
    </x:row>
    <x:row r="104">
      <x:c r="A104" s="12" t="n"/>
      <x:c r="B104" s="12" t="n"/>
      <x:c r="C104" s="12" t="n"/>
      <x:c r="D104" s="12" t="n"/>
      <x:c r="E104" s="12" t="n"/>
      <x:c r="F104" s="14" t="n"/>
      <x:c r="G104" s="14" t="n"/>
      <x:c r="H104" s="15">
        <x:f>IF(AND($F104="",$G104=""),"",MAX($F104-$G104,0))</x:f>
      </x:c>
      <x:c r="I104" s="13" t="n"/>
      <x:c r="J104" s="17">
        <x:f>IF($A104="","",IF(OR($I104="",$H104&lt;=0),"",MAX(TODAY()-$I104,0)))</x:f>
      </x:c>
      <x:c r="K104" s="17">
        <x:f>IF($A104="","",IF($H104&lt;=0,"已回清",IF($I104="","",IF($J104=0,"未到期",IF($J104&lt;=30,"1-30天",IF($J104&lt;=60,"31-60天",IF($J104&lt;=90,"61-90天","90天以上")))))))</x:f>
      </x:c>
      <x:c r="L104" s="14" t="n"/>
      <x:c r="M104" s="14" t="n"/>
      <x:c r="N104" s="16">
        <x:f>IF($A104="","",IF($F104="","",IF($F104=0,0,$G104/$F104)))</x:f>
      </x:c>
      <x:c r="O104" s="12" t="n"/>
      <x:c r="P104" s="16">
        <x:f>IF(OR($B104="",$H104=""),"",IFERROR($H104/VLOOKUP($B104,Customers!$A$2:$J$201,10,FALSE),""))</x:f>
      </x:c>
      <x:c r="Q104" s="17">
        <x:f>IF($A104="","",IF($H104&lt;=0,"已回清",IF($J104="","",IF($J104&gt;90,"坏账风险",IF($J104&gt;60,"高风险",IF($J104&gt;30,"中风险",IF($J104&gt;0,"预警","正常")))))))</x:f>
      </x:c>
      <x:c r="R104" s="17">
        <x:f>IF($A104="","",IF($Q104="","",IF($Q104="坏账风险","法务介入 / 准备诉讼",IF($Q104="高风险","上门沟通 / 部门经理介入",IF($Q104="中风险","电话催收 / 周度跟进",IF($Q104="预警","提醒客户按期回款","持续跟踪"))))))</x:f>
      </x:c>
      <x:c r="S104" s="13" t="n"/>
      <x:c r="T104" s="12" t="n"/>
      <x:c r="U104" s="17">
        <x:f>IF($A104="","",IF($H104&lt;=0,0,IF($J104="",0,$J104*100000000+$H104*100+ROW()/1000)))</x:f>
      </x:c>
    </x:row>
    <x:row r="105">
      <x:c r="A105" s="12" t="n"/>
      <x:c r="B105" s="12" t="n"/>
      <x:c r="C105" s="12" t="n"/>
      <x:c r="D105" s="12" t="n"/>
      <x:c r="E105" s="12" t="n"/>
      <x:c r="F105" s="14" t="n"/>
      <x:c r="G105" s="14" t="n"/>
      <x:c r="H105" s="15">
        <x:f>IF(AND($F105="",$G105=""),"",MAX($F105-$G105,0))</x:f>
      </x:c>
      <x:c r="I105" s="13" t="n"/>
      <x:c r="J105" s="17">
        <x:f>IF($A105="","",IF(OR($I105="",$H105&lt;=0),"",MAX(TODAY()-$I105,0)))</x:f>
      </x:c>
      <x:c r="K105" s="17">
        <x:f>IF($A105="","",IF($H105&lt;=0,"已回清",IF($I105="","",IF($J105=0,"未到期",IF($J105&lt;=30,"1-30天",IF($J105&lt;=60,"31-60天",IF($J105&lt;=90,"61-90天","90天以上")))))))</x:f>
      </x:c>
      <x:c r="L105" s="14" t="n"/>
      <x:c r="M105" s="14" t="n"/>
      <x:c r="N105" s="16">
        <x:f>IF($A105="","",IF($F105="","",IF($F105=0,0,$G105/$F105)))</x:f>
      </x:c>
      <x:c r="O105" s="12" t="n"/>
      <x:c r="P105" s="16">
        <x:f>IF(OR($B105="",$H105=""),"",IFERROR($H105/VLOOKUP($B105,Customers!$A$2:$J$201,10,FALSE),""))</x:f>
      </x:c>
      <x:c r="Q105" s="17">
        <x:f>IF($A105="","",IF($H105&lt;=0,"已回清",IF($J105="","",IF($J105&gt;90,"坏账风险",IF($J105&gt;60,"高风险",IF($J105&gt;30,"中风险",IF($J105&gt;0,"预警","正常")))))))</x:f>
      </x:c>
      <x:c r="R105" s="17">
        <x:f>IF($A105="","",IF($Q105="","",IF($Q105="坏账风险","法务介入 / 准备诉讼",IF($Q105="高风险","上门沟通 / 部门经理介入",IF($Q105="中风险","电话催收 / 周度跟进",IF($Q105="预警","提醒客户按期回款","持续跟踪"))))))</x:f>
      </x:c>
      <x:c r="S105" s="13" t="n"/>
      <x:c r="T105" s="12" t="n"/>
      <x:c r="U105" s="17">
        <x:f>IF($A105="","",IF($H105&lt;=0,0,IF($J105="",0,$J105*100000000+$H105*100+ROW()/1000)))</x:f>
      </x:c>
    </x:row>
    <x:row r="106">
      <x:c r="A106" s="12" t="n"/>
      <x:c r="B106" s="12" t="n"/>
      <x:c r="C106" s="12" t="n"/>
      <x:c r="D106" s="12" t="n"/>
      <x:c r="E106" s="12" t="n"/>
      <x:c r="F106" s="14" t="n"/>
      <x:c r="G106" s="14" t="n"/>
      <x:c r="H106" s="15">
        <x:f>IF(AND($F106="",$G106=""),"",MAX($F106-$G106,0))</x:f>
      </x:c>
      <x:c r="I106" s="13" t="n"/>
      <x:c r="J106" s="17">
        <x:f>IF($A106="","",IF(OR($I106="",$H106&lt;=0),"",MAX(TODAY()-$I106,0)))</x:f>
      </x:c>
      <x:c r="K106" s="17">
        <x:f>IF($A106="","",IF($H106&lt;=0,"已回清",IF($I106="","",IF($J106=0,"未到期",IF($J106&lt;=30,"1-30天",IF($J106&lt;=60,"31-60天",IF($J106&lt;=90,"61-90天","90天以上")))))))</x:f>
      </x:c>
      <x:c r="L106" s="14" t="n"/>
      <x:c r="M106" s="14" t="n"/>
      <x:c r="N106" s="16">
        <x:f>IF($A106="","",IF($F106="","",IF($F106=0,0,$G106/$F106)))</x:f>
      </x:c>
      <x:c r="O106" s="12" t="n"/>
      <x:c r="P106" s="16">
        <x:f>IF(OR($B106="",$H106=""),"",IFERROR($H106/VLOOKUP($B106,Customers!$A$2:$J$201,10,FALSE),""))</x:f>
      </x:c>
      <x:c r="Q106" s="17">
        <x:f>IF($A106="","",IF($H106&lt;=0,"已回清",IF($J106="","",IF($J106&gt;90,"坏账风险",IF($J106&gt;60,"高风险",IF($J106&gt;30,"中风险",IF($J106&gt;0,"预警","正常")))))))</x:f>
      </x:c>
      <x:c r="R106" s="17">
        <x:f>IF($A106="","",IF($Q106="","",IF($Q106="坏账风险","法务介入 / 准备诉讼",IF($Q106="高风险","上门沟通 / 部门经理介入",IF($Q106="中风险","电话催收 / 周度跟进",IF($Q106="预警","提醒客户按期回款","持续跟踪"))))))</x:f>
      </x:c>
      <x:c r="S106" s="13" t="n"/>
      <x:c r="T106" s="12" t="n"/>
      <x:c r="U106" s="17">
        <x:f>IF($A106="","",IF($H106&lt;=0,0,IF($J106="",0,$J106*100000000+$H106*100+ROW()/1000)))</x:f>
      </x:c>
    </x:row>
    <x:row r="107">
      <x:c r="A107" s="12" t="n"/>
      <x:c r="B107" s="12" t="n"/>
      <x:c r="C107" s="12" t="n"/>
      <x:c r="D107" s="12" t="n"/>
      <x:c r="E107" s="12" t="n"/>
      <x:c r="F107" s="14" t="n"/>
      <x:c r="G107" s="14" t="n"/>
      <x:c r="H107" s="15">
        <x:f>IF(AND($F107="",$G107=""),"",MAX($F107-$G107,0))</x:f>
      </x:c>
      <x:c r="I107" s="13" t="n"/>
      <x:c r="J107" s="17">
        <x:f>IF($A107="","",IF(OR($I107="",$H107&lt;=0),"",MAX(TODAY()-$I107,0)))</x:f>
      </x:c>
      <x:c r="K107" s="17">
        <x:f>IF($A107="","",IF($H107&lt;=0,"已回清",IF($I107="","",IF($J107=0,"未到期",IF($J107&lt;=30,"1-30天",IF($J107&lt;=60,"31-60天",IF($J107&lt;=90,"61-90天","90天以上")))))))</x:f>
      </x:c>
      <x:c r="L107" s="14" t="n"/>
      <x:c r="M107" s="14" t="n"/>
      <x:c r="N107" s="16">
        <x:f>IF($A107="","",IF($F107="","",IF($F107=0,0,$G107/$F107)))</x:f>
      </x:c>
      <x:c r="O107" s="12" t="n"/>
      <x:c r="P107" s="16">
        <x:f>IF(OR($B107="",$H107=""),"",IFERROR($H107/VLOOKUP($B107,Customers!$A$2:$J$201,10,FALSE),""))</x:f>
      </x:c>
      <x:c r="Q107" s="17">
        <x:f>IF($A107="","",IF($H107&lt;=0,"已回清",IF($J107="","",IF($J107&gt;90,"坏账风险",IF($J107&gt;60,"高风险",IF($J107&gt;30,"中风险",IF($J107&gt;0,"预警","正常")))))))</x:f>
      </x:c>
      <x:c r="R107" s="17">
        <x:f>IF($A107="","",IF($Q107="","",IF($Q107="坏账风险","法务介入 / 准备诉讼",IF($Q107="高风险","上门沟通 / 部门经理介入",IF($Q107="中风险","电话催收 / 周度跟进",IF($Q107="预警","提醒客户按期回款","持续跟踪"))))))</x:f>
      </x:c>
      <x:c r="S107" s="13" t="n"/>
      <x:c r="T107" s="12" t="n"/>
      <x:c r="U107" s="17">
        <x:f>IF($A107="","",IF($H107&lt;=0,0,IF($J107="",0,$J107*100000000+$H107*100+ROW()/1000)))</x:f>
      </x:c>
    </x:row>
    <x:row r="108">
      <x:c r="A108" s="12" t="n"/>
      <x:c r="B108" s="12" t="n"/>
      <x:c r="C108" s="12" t="n"/>
      <x:c r="D108" s="12" t="n"/>
      <x:c r="E108" s="12" t="n"/>
      <x:c r="F108" s="14" t="n"/>
      <x:c r="G108" s="14" t="n"/>
      <x:c r="H108" s="15">
        <x:f>IF(AND($F108="",$G108=""),"",MAX($F108-$G108,0))</x:f>
      </x:c>
      <x:c r="I108" s="13" t="n"/>
      <x:c r="J108" s="17">
        <x:f>IF($A108="","",IF(OR($I108="",$H108&lt;=0),"",MAX(TODAY()-$I108,0)))</x:f>
      </x:c>
      <x:c r="K108" s="17">
        <x:f>IF($A108="","",IF($H108&lt;=0,"已回清",IF($I108="","",IF($J108=0,"未到期",IF($J108&lt;=30,"1-30天",IF($J108&lt;=60,"31-60天",IF($J108&lt;=90,"61-90天","90天以上")))))))</x:f>
      </x:c>
      <x:c r="L108" s="14" t="n"/>
      <x:c r="M108" s="14" t="n"/>
      <x:c r="N108" s="16">
        <x:f>IF($A108="","",IF($F108="","",IF($F108=0,0,$G108/$F108)))</x:f>
      </x:c>
      <x:c r="O108" s="12" t="n"/>
      <x:c r="P108" s="16">
        <x:f>IF(OR($B108="",$H108=""),"",IFERROR($H108/VLOOKUP($B108,Customers!$A$2:$J$201,10,FALSE),""))</x:f>
      </x:c>
      <x:c r="Q108" s="17">
        <x:f>IF($A108="","",IF($H108&lt;=0,"已回清",IF($J108="","",IF($J108&gt;90,"坏账风险",IF($J108&gt;60,"高风险",IF($J108&gt;30,"中风险",IF($J108&gt;0,"预警","正常")))))))</x:f>
      </x:c>
      <x:c r="R108" s="17">
        <x:f>IF($A108="","",IF($Q108="","",IF($Q108="坏账风险","法务介入 / 准备诉讼",IF($Q108="高风险","上门沟通 / 部门经理介入",IF($Q108="中风险","电话催收 / 周度跟进",IF($Q108="预警","提醒客户按期回款","持续跟踪"))))))</x:f>
      </x:c>
      <x:c r="S108" s="13" t="n"/>
      <x:c r="T108" s="12" t="n"/>
      <x:c r="U108" s="17">
        <x:f>IF($A108="","",IF($H108&lt;=0,0,IF($J108="",0,$J108*100000000+$H108*100+ROW()/1000)))</x:f>
      </x:c>
    </x:row>
    <x:row r="109">
      <x:c r="A109" s="12" t="n"/>
      <x:c r="B109" s="12" t="n"/>
      <x:c r="C109" s="12" t="n"/>
      <x:c r="D109" s="12" t="n"/>
      <x:c r="E109" s="12" t="n"/>
      <x:c r="F109" s="14" t="n"/>
      <x:c r="G109" s="14" t="n"/>
      <x:c r="H109" s="15">
        <x:f>IF(AND($F109="",$G109=""),"",MAX($F109-$G109,0))</x:f>
      </x:c>
      <x:c r="I109" s="13" t="n"/>
      <x:c r="J109" s="17">
        <x:f>IF($A109="","",IF(OR($I109="",$H109&lt;=0),"",MAX(TODAY()-$I109,0)))</x:f>
      </x:c>
      <x:c r="K109" s="17">
        <x:f>IF($A109="","",IF($H109&lt;=0,"已回清",IF($I109="","",IF($J109=0,"未到期",IF($J109&lt;=30,"1-30天",IF($J109&lt;=60,"31-60天",IF($J109&lt;=90,"61-90天","90天以上")))))))</x:f>
      </x:c>
      <x:c r="L109" s="14" t="n"/>
      <x:c r="M109" s="14" t="n"/>
      <x:c r="N109" s="16">
        <x:f>IF($A109="","",IF($F109="","",IF($F109=0,0,$G109/$F109)))</x:f>
      </x:c>
      <x:c r="O109" s="12" t="n"/>
      <x:c r="P109" s="16">
        <x:f>IF(OR($B109="",$H109=""),"",IFERROR($H109/VLOOKUP($B109,Customers!$A$2:$J$201,10,FALSE),""))</x:f>
      </x:c>
      <x:c r="Q109" s="17">
        <x:f>IF($A109="","",IF($H109&lt;=0,"已回清",IF($J109="","",IF($J109&gt;90,"坏账风险",IF($J109&gt;60,"高风险",IF($J109&gt;30,"中风险",IF($J109&gt;0,"预警","正常")))))))</x:f>
      </x:c>
      <x:c r="R109" s="17">
        <x:f>IF($A109="","",IF($Q109="","",IF($Q109="坏账风险","法务介入 / 准备诉讼",IF($Q109="高风险","上门沟通 / 部门经理介入",IF($Q109="中风险","电话催收 / 周度跟进",IF($Q109="预警","提醒客户按期回款","持续跟踪"))))))</x:f>
      </x:c>
      <x:c r="S109" s="13" t="n"/>
      <x:c r="T109" s="12" t="n"/>
      <x:c r="U109" s="17">
        <x:f>IF($A109="","",IF($H109&lt;=0,0,IF($J109="",0,$J109*100000000+$H109*100+ROW()/1000)))</x:f>
      </x:c>
    </x:row>
    <x:row r="110">
      <x:c r="A110" s="12" t="n"/>
      <x:c r="B110" s="12" t="n"/>
      <x:c r="C110" s="12" t="n"/>
      <x:c r="D110" s="12" t="n"/>
      <x:c r="E110" s="12" t="n"/>
      <x:c r="F110" s="14" t="n"/>
      <x:c r="G110" s="14" t="n"/>
      <x:c r="H110" s="15">
        <x:f>IF(AND($F110="",$G110=""),"",MAX($F110-$G110,0))</x:f>
      </x:c>
      <x:c r="I110" s="13" t="n"/>
      <x:c r="J110" s="17">
        <x:f>IF($A110="","",IF(OR($I110="",$H110&lt;=0),"",MAX(TODAY()-$I110,0)))</x:f>
      </x:c>
      <x:c r="K110" s="17">
        <x:f>IF($A110="","",IF($H110&lt;=0,"已回清",IF($I110="","",IF($J110=0,"未到期",IF($J110&lt;=30,"1-30天",IF($J110&lt;=60,"31-60天",IF($J110&lt;=90,"61-90天","90天以上")))))))</x:f>
      </x:c>
      <x:c r="L110" s="14" t="n"/>
      <x:c r="M110" s="14" t="n"/>
      <x:c r="N110" s="16">
        <x:f>IF($A110="","",IF($F110="","",IF($F110=0,0,$G110/$F110)))</x:f>
      </x:c>
      <x:c r="O110" s="12" t="n"/>
      <x:c r="P110" s="16">
        <x:f>IF(OR($B110="",$H110=""),"",IFERROR($H110/VLOOKUP($B110,Customers!$A$2:$J$201,10,FALSE),""))</x:f>
      </x:c>
      <x:c r="Q110" s="17">
        <x:f>IF($A110="","",IF($H110&lt;=0,"已回清",IF($J110="","",IF($J110&gt;90,"坏账风险",IF($J110&gt;60,"高风险",IF($J110&gt;30,"中风险",IF($J110&gt;0,"预警","正常")))))))</x:f>
      </x:c>
      <x:c r="R110" s="17">
        <x:f>IF($A110="","",IF($Q110="","",IF($Q110="坏账风险","法务介入 / 准备诉讼",IF($Q110="高风险","上门沟通 / 部门经理介入",IF($Q110="中风险","电话催收 / 周度跟进",IF($Q110="预警","提醒客户按期回款","持续跟踪"))))))</x:f>
      </x:c>
      <x:c r="S110" s="13" t="n"/>
      <x:c r="T110" s="12" t="n"/>
      <x:c r="U110" s="17">
        <x:f>IF($A110="","",IF($H110&lt;=0,0,IF($J110="",0,$J110*100000000+$H110*100+ROW()/1000)))</x:f>
      </x:c>
    </x:row>
    <x:row r="111">
      <x:c r="A111" s="12" t="n"/>
      <x:c r="B111" s="12" t="n"/>
      <x:c r="C111" s="12" t="n"/>
      <x:c r="D111" s="12" t="n"/>
      <x:c r="E111" s="12" t="n"/>
      <x:c r="F111" s="14" t="n"/>
      <x:c r="G111" s="14" t="n"/>
      <x:c r="H111" s="15">
        <x:f>IF(AND($F111="",$G111=""),"",MAX($F111-$G111,0))</x:f>
      </x:c>
      <x:c r="I111" s="13" t="n"/>
      <x:c r="J111" s="17">
        <x:f>IF($A111="","",IF(OR($I111="",$H111&lt;=0),"",MAX(TODAY()-$I111,0)))</x:f>
      </x:c>
      <x:c r="K111" s="17">
        <x:f>IF($A111="","",IF($H111&lt;=0,"已回清",IF($I111="","",IF($J111=0,"未到期",IF($J111&lt;=30,"1-30天",IF($J111&lt;=60,"31-60天",IF($J111&lt;=90,"61-90天","90天以上")))))))</x:f>
      </x:c>
      <x:c r="L111" s="14" t="n"/>
      <x:c r="M111" s="14" t="n"/>
      <x:c r="N111" s="16">
        <x:f>IF($A111="","",IF($F111="","",IF($F111=0,0,$G111/$F111)))</x:f>
      </x:c>
      <x:c r="O111" s="12" t="n"/>
      <x:c r="P111" s="16">
        <x:f>IF(OR($B111="",$H111=""),"",IFERROR($H111/VLOOKUP($B111,Customers!$A$2:$J$201,10,FALSE),""))</x:f>
      </x:c>
      <x:c r="Q111" s="17">
        <x:f>IF($A111="","",IF($H111&lt;=0,"已回清",IF($J111="","",IF($J111&gt;90,"坏账风险",IF($J111&gt;60,"高风险",IF($J111&gt;30,"中风险",IF($J111&gt;0,"预警","正常")))))))</x:f>
      </x:c>
      <x:c r="R111" s="17">
        <x:f>IF($A111="","",IF($Q111="","",IF($Q111="坏账风险","法务介入 / 准备诉讼",IF($Q111="高风险","上门沟通 / 部门经理介入",IF($Q111="中风险","电话催收 / 周度跟进",IF($Q111="预警","提醒客户按期回款","持续跟踪"))))))</x:f>
      </x:c>
      <x:c r="S111" s="13" t="n"/>
      <x:c r="T111" s="12" t="n"/>
      <x:c r="U111" s="17">
        <x:f>IF($A111="","",IF($H111&lt;=0,0,IF($J111="",0,$J111*100000000+$H111*100+ROW()/1000)))</x:f>
      </x:c>
    </x:row>
    <x:row r="112">
      <x:c r="A112" s="12" t="n"/>
      <x:c r="B112" s="12" t="n"/>
      <x:c r="C112" s="12" t="n"/>
      <x:c r="D112" s="12" t="n"/>
      <x:c r="E112" s="12" t="n"/>
      <x:c r="F112" s="14" t="n"/>
      <x:c r="G112" s="14" t="n"/>
      <x:c r="H112" s="15">
        <x:f>IF(AND($F112="",$G112=""),"",MAX($F112-$G112,0))</x:f>
      </x:c>
      <x:c r="I112" s="13" t="n"/>
      <x:c r="J112" s="17">
        <x:f>IF($A112="","",IF(OR($I112="",$H112&lt;=0),"",MAX(TODAY()-$I112,0)))</x:f>
      </x:c>
      <x:c r="K112" s="17">
        <x:f>IF($A112="","",IF($H112&lt;=0,"已回清",IF($I112="","",IF($J112=0,"未到期",IF($J112&lt;=30,"1-30天",IF($J112&lt;=60,"31-60天",IF($J112&lt;=90,"61-90天","90天以上")))))))</x:f>
      </x:c>
      <x:c r="L112" s="14" t="n"/>
      <x:c r="M112" s="14" t="n"/>
      <x:c r="N112" s="16">
        <x:f>IF($A112="","",IF($F112="","",IF($F112=0,0,$G112/$F112)))</x:f>
      </x:c>
      <x:c r="O112" s="12" t="n"/>
      <x:c r="P112" s="16">
        <x:f>IF(OR($B112="",$H112=""),"",IFERROR($H112/VLOOKUP($B112,Customers!$A$2:$J$201,10,FALSE),""))</x:f>
      </x:c>
      <x:c r="Q112" s="17">
        <x:f>IF($A112="","",IF($H112&lt;=0,"已回清",IF($J112="","",IF($J112&gt;90,"坏账风险",IF($J112&gt;60,"高风险",IF($J112&gt;30,"中风险",IF($J112&gt;0,"预警","正常")))))))</x:f>
      </x:c>
      <x:c r="R112" s="17">
        <x:f>IF($A112="","",IF($Q112="","",IF($Q112="坏账风险","法务介入 / 准备诉讼",IF($Q112="高风险","上门沟通 / 部门经理介入",IF($Q112="中风险","电话催收 / 周度跟进",IF($Q112="预警","提醒客户按期回款","持续跟踪"))))))</x:f>
      </x:c>
      <x:c r="S112" s="13" t="n"/>
      <x:c r="T112" s="12" t="n"/>
      <x:c r="U112" s="17">
        <x:f>IF($A112="","",IF($H112&lt;=0,0,IF($J112="",0,$J112*100000000+$H112*100+ROW()/1000)))</x:f>
      </x:c>
    </x:row>
    <x:row r="113">
      <x:c r="A113" s="12" t="n"/>
      <x:c r="B113" s="12" t="n"/>
      <x:c r="C113" s="12" t="n"/>
      <x:c r="D113" s="12" t="n"/>
      <x:c r="E113" s="12" t="n"/>
      <x:c r="F113" s="14" t="n"/>
      <x:c r="G113" s="14" t="n"/>
      <x:c r="H113" s="15">
        <x:f>IF(AND($F113="",$G113=""),"",MAX($F113-$G113,0))</x:f>
      </x:c>
      <x:c r="I113" s="13" t="n"/>
      <x:c r="J113" s="17">
        <x:f>IF($A113="","",IF(OR($I113="",$H113&lt;=0),"",MAX(TODAY()-$I113,0)))</x:f>
      </x:c>
      <x:c r="K113" s="17">
        <x:f>IF($A113="","",IF($H113&lt;=0,"已回清",IF($I113="","",IF($J113=0,"未到期",IF($J113&lt;=30,"1-30天",IF($J113&lt;=60,"31-60天",IF($J113&lt;=90,"61-90天","90天以上")))))))</x:f>
      </x:c>
      <x:c r="L113" s="14" t="n"/>
      <x:c r="M113" s="14" t="n"/>
      <x:c r="N113" s="16">
        <x:f>IF($A113="","",IF($F113="","",IF($F113=0,0,$G113/$F113)))</x:f>
      </x:c>
      <x:c r="O113" s="12" t="n"/>
      <x:c r="P113" s="16">
        <x:f>IF(OR($B113="",$H113=""),"",IFERROR($H113/VLOOKUP($B113,Customers!$A$2:$J$201,10,FALSE),""))</x:f>
      </x:c>
      <x:c r="Q113" s="17">
        <x:f>IF($A113="","",IF($H113&lt;=0,"已回清",IF($J113="","",IF($J113&gt;90,"坏账风险",IF($J113&gt;60,"高风险",IF($J113&gt;30,"中风险",IF($J113&gt;0,"预警","正常")))))))</x:f>
      </x:c>
      <x:c r="R113" s="17">
        <x:f>IF($A113="","",IF($Q113="","",IF($Q113="坏账风险","法务介入 / 准备诉讼",IF($Q113="高风险","上门沟通 / 部门经理介入",IF($Q113="中风险","电话催收 / 周度跟进",IF($Q113="预警","提醒客户按期回款","持续跟踪"))))))</x:f>
      </x:c>
      <x:c r="S113" s="13" t="n"/>
      <x:c r="T113" s="12" t="n"/>
      <x:c r="U113" s="17">
        <x:f>IF($A113="","",IF($H113&lt;=0,0,IF($J113="",0,$J113*100000000+$H113*100+ROW()/1000)))</x:f>
      </x:c>
    </x:row>
    <x:row r="114">
      <x:c r="A114" s="12" t="n"/>
      <x:c r="B114" s="12" t="n"/>
      <x:c r="C114" s="12" t="n"/>
      <x:c r="D114" s="12" t="n"/>
      <x:c r="E114" s="12" t="n"/>
      <x:c r="F114" s="14" t="n"/>
      <x:c r="G114" s="14" t="n"/>
      <x:c r="H114" s="15">
        <x:f>IF(AND($F114="",$G114=""),"",MAX($F114-$G114,0))</x:f>
      </x:c>
      <x:c r="I114" s="13" t="n"/>
      <x:c r="J114" s="17">
        <x:f>IF($A114="","",IF(OR($I114="",$H114&lt;=0),"",MAX(TODAY()-$I114,0)))</x:f>
      </x:c>
      <x:c r="K114" s="17">
        <x:f>IF($A114="","",IF($H114&lt;=0,"已回清",IF($I114="","",IF($J114=0,"未到期",IF($J114&lt;=30,"1-30天",IF($J114&lt;=60,"31-60天",IF($J114&lt;=90,"61-90天","90天以上")))))))</x:f>
      </x:c>
      <x:c r="L114" s="14" t="n"/>
      <x:c r="M114" s="14" t="n"/>
      <x:c r="N114" s="16">
        <x:f>IF($A114="","",IF($F114="","",IF($F114=0,0,$G114/$F114)))</x:f>
      </x:c>
      <x:c r="O114" s="12" t="n"/>
      <x:c r="P114" s="16">
        <x:f>IF(OR($B114="",$H114=""),"",IFERROR($H114/VLOOKUP($B114,Customers!$A$2:$J$201,10,FALSE),""))</x:f>
      </x:c>
      <x:c r="Q114" s="17">
        <x:f>IF($A114="","",IF($H114&lt;=0,"已回清",IF($J114="","",IF($J114&gt;90,"坏账风险",IF($J114&gt;60,"高风险",IF($J114&gt;30,"中风险",IF($J114&gt;0,"预警","正常")))))))</x:f>
      </x:c>
      <x:c r="R114" s="17">
        <x:f>IF($A114="","",IF($Q114="","",IF($Q114="坏账风险","法务介入 / 准备诉讼",IF($Q114="高风险","上门沟通 / 部门经理介入",IF($Q114="中风险","电话催收 / 周度跟进",IF($Q114="预警","提醒客户按期回款","持续跟踪"))))))</x:f>
      </x:c>
      <x:c r="S114" s="13" t="n"/>
      <x:c r="T114" s="12" t="n"/>
      <x:c r="U114" s="17">
        <x:f>IF($A114="","",IF($H114&lt;=0,0,IF($J114="",0,$J114*100000000+$H114*100+ROW()/1000)))</x:f>
      </x:c>
    </x:row>
    <x:row r="115">
      <x:c r="A115" s="12" t="n"/>
      <x:c r="B115" s="12" t="n"/>
      <x:c r="C115" s="12" t="n"/>
      <x:c r="D115" s="12" t="n"/>
      <x:c r="E115" s="12" t="n"/>
      <x:c r="F115" s="14" t="n"/>
      <x:c r="G115" s="14" t="n"/>
      <x:c r="H115" s="15">
        <x:f>IF(AND($F115="",$G115=""),"",MAX($F115-$G115,0))</x:f>
      </x:c>
      <x:c r="I115" s="13" t="n"/>
      <x:c r="J115" s="17">
        <x:f>IF($A115="","",IF(OR($I115="",$H115&lt;=0),"",MAX(TODAY()-$I115,0)))</x:f>
      </x:c>
      <x:c r="K115" s="17">
        <x:f>IF($A115="","",IF($H115&lt;=0,"已回清",IF($I115="","",IF($J115=0,"未到期",IF($J115&lt;=30,"1-30天",IF($J115&lt;=60,"31-60天",IF($J115&lt;=90,"61-90天","90天以上")))))))</x:f>
      </x:c>
      <x:c r="L115" s="14" t="n"/>
      <x:c r="M115" s="14" t="n"/>
      <x:c r="N115" s="16">
        <x:f>IF($A115="","",IF($F115="","",IF($F115=0,0,$G115/$F115)))</x:f>
      </x:c>
      <x:c r="O115" s="12" t="n"/>
      <x:c r="P115" s="16">
        <x:f>IF(OR($B115="",$H115=""),"",IFERROR($H115/VLOOKUP($B115,Customers!$A$2:$J$201,10,FALSE),""))</x:f>
      </x:c>
      <x:c r="Q115" s="17">
        <x:f>IF($A115="","",IF($H115&lt;=0,"已回清",IF($J115="","",IF($J115&gt;90,"坏账风险",IF($J115&gt;60,"高风险",IF($J115&gt;30,"中风险",IF($J115&gt;0,"预警","正常")))))))</x:f>
      </x:c>
      <x:c r="R115" s="17">
        <x:f>IF($A115="","",IF($Q115="","",IF($Q115="坏账风险","法务介入 / 准备诉讼",IF($Q115="高风险","上门沟通 / 部门经理介入",IF($Q115="中风险","电话催收 / 周度跟进",IF($Q115="预警","提醒客户按期回款","持续跟踪"))))))</x:f>
      </x:c>
      <x:c r="S115" s="13" t="n"/>
      <x:c r="T115" s="12" t="n"/>
      <x:c r="U115" s="17">
        <x:f>IF($A115="","",IF($H115&lt;=0,0,IF($J115="",0,$J115*100000000+$H115*100+ROW()/1000)))</x:f>
      </x:c>
    </x:row>
    <x:row r="116">
      <x:c r="A116" s="12" t="n"/>
      <x:c r="B116" s="12" t="n"/>
      <x:c r="C116" s="12" t="n"/>
      <x:c r="D116" s="12" t="n"/>
      <x:c r="E116" s="12" t="n"/>
      <x:c r="F116" s="14" t="n"/>
      <x:c r="G116" s="14" t="n"/>
      <x:c r="H116" s="15">
        <x:f>IF(AND($F116="",$G116=""),"",MAX($F116-$G116,0))</x:f>
      </x:c>
      <x:c r="I116" s="13" t="n"/>
      <x:c r="J116" s="17">
        <x:f>IF($A116="","",IF(OR($I116="",$H116&lt;=0),"",MAX(TODAY()-$I116,0)))</x:f>
      </x:c>
      <x:c r="K116" s="17">
        <x:f>IF($A116="","",IF($H116&lt;=0,"已回清",IF($I116="","",IF($J116=0,"未到期",IF($J116&lt;=30,"1-30天",IF($J116&lt;=60,"31-60天",IF($J116&lt;=90,"61-90天","90天以上")))))))</x:f>
      </x:c>
      <x:c r="L116" s="14" t="n"/>
      <x:c r="M116" s="14" t="n"/>
      <x:c r="N116" s="16">
        <x:f>IF($A116="","",IF($F116="","",IF($F116=0,0,$G116/$F116)))</x:f>
      </x:c>
      <x:c r="O116" s="12" t="n"/>
      <x:c r="P116" s="16">
        <x:f>IF(OR($B116="",$H116=""),"",IFERROR($H116/VLOOKUP($B116,Customers!$A$2:$J$201,10,FALSE),""))</x:f>
      </x:c>
      <x:c r="Q116" s="17">
        <x:f>IF($A116="","",IF($H116&lt;=0,"已回清",IF($J116="","",IF($J116&gt;90,"坏账风险",IF($J116&gt;60,"高风险",IF($J116&gt;30,"中风险",IF($J116&gt;0,"预警","正常")))))))</x:f>
      </x:c>
      <x:c r="R116" s="17">
        <x:f>IF($A116="","",IF($Q116="","",IF($Q116="坏账风险","法务介入 / 准备诉讼",IF($Q116="高风险","上门沟通 / 部门经理介入",IF($Q116="中风险","电话催收 / 周度跟进",IF($Q116="预警","提醒客户按期回款","持续跟踪"))))))</x:f>
      </x:c>
      <x:c r="S116" s="13" t="n"/>
      <x:c r="T116" s="12" t="n"/>
      <x:c r="U116" s="17">
        <x:f>IF($A116="","",IF($H116&lt;=0,0,IF($J116="",0,$J116*100000000+$H116*100+ROW()/1000)))</x:f>
      </x:c>
    </x:row>
    <x:row r="117">
      <x:c r="A117" s="12" t="n"/>
      <x:c r="B117" s="12" t="n"/>
      <x:c r="C117" s="12" t="n"/>
      <x:c r="D117" s="12" t="n"/>
      <x:c r="E117" s="12" t="n"/>
      <x:c r="F117" s="14" t="n"/>
      <x:c r="G117" s="14" t="n"/>
      <x:c r="H117" s="15">
        <x:f>IF(AND($F117="",$G117=""),"",MAX($F117-$G117,0))</x:f>
      </x:c>
      <x:c r="I117" s="13" t="n"/>
      <x:c r="J117" s="17">
        <x:f>IF($A117="","",IF(OR($I117="",$H117&lt;=0),"",MAX(TODAY()-$I117,0)))</x:f>
      </x:c>
      <x:c r="K117" s="17">
        <x:f>IF($A117="","",IF($H117&lt;=0,"已回清",IF($I117="","",IF($J117=0,"未到期",IF($J117&lt;=30,"1-30天",IF($J117&lt;=60,"31-60天",IF($J117&lt;=90,"61-90天","90天以上")))))))</x:f>
      </x:c>
      <x:c r="L117" s="14" t="n"/>
      <x:c r="M117" s="14" t="n"/>
      <x:c r="N117" s="16">
        <x:f>IF($A117="","",IF($F117="","",IF($F117=0,0,$G117/$F117)))</x:f>
      </x:c>
      <x:c r="O117" s="12" t="n"/>
      <x:c r="P117" s="16">
        <x:f>IF(OR($B117="",$H117=""),"",IFERROR($H117/VLOOKUP($B117,Customers!$A$2:$J$201,10,FALSE),""))</x:f>
      </x:c>
      <x:c r="Q117" s="17">
        <x:f>IF($A117="","",IF($H117&lt;=0,"已回清",IF($J117="","",IF($J117&gt;90,"坏账风险",IF($J117&gt;60,"高风险",IF($J117&gt;30,"中风险",IF($J117&gt;0,"预警","正常")))))))</x:f>
      </x:c>
      <x:c r="R117" s="17">
        <x:f>IF($A117="","",IF($Q117="","",IF($Q117="坏账风险","法务介入 / 准备诉讼",IF($Q117="高风险","上门沟通 / 部门经理介入",IF($Q117="中风险","电话催收 / 周度跟进",IF($Q117="预警","提醒客户按期回款","持续跟踪"))))))</x:f>
      </x:c>
      <x:c r="S117" s="13" t="n"/>
      <x:c r="T117" s="12" t="n"/>
      <x:c r="U117" s="17">
        <x:f>IF($A117="","",IF($H117&lt;=0,0,IF($J117="",0,$J117*100000000+$H117*100+ROW()/1000)))</x:f>
      </x:c>
    </x:row>
    <x:row r="118">
      <x:c r="A118" s="12" t="n"/>
      <x:c r="B118" s="12" t="n"/>
      <x:c r="C118" s="12" t="n"/>
      <x:c r="D118" s="12" t="n"/>
      <x:c r="E118" s="12" t="n"/>
      <x:c r="F118" s="14" t="n"/>
      <x:c r="G118" s="14" t="n"/>
      <x:c r="H118" s="15">
        <x:f>IF(AND($F118="",$G118=""),"",MAX($F118-$G118,0))</x:f>
      </x:c>
      <x:c r="I118" s="13" t="n"/>
      <x:c r="J118" s="17">
        <x:f>IF($A118="","",IF(OR($I118="",$H118&lt;=0),"",MAX(TODAY()-$I118,0)))</x:f>
      </x:c>
      <x:c r="K118" s="17">
        <x:f>IF($A118="","",IF($H118&lt;=0,"已回清",IF($I118="","",IF($J118=0,"未到期",IF($J118&lt;=30,"1-30天",IF($J118&lt;=60,"31-60天",IF($J118&lt;=90,"61-90天","90天以上")))))))</x:f>
      </x:c>
      <x:c r="L118" s="14" t="n"/>
      <x:c r="M118" s="14" t="n"/>
      <x:c r="N118" s="16">
        <x:f>IF($A118="","",IF($F118="","",IF($F118=0,0,$G118/$F118)))</x:f>
      </x:c>
      <x:c r="O118" s="12" t="n"/>
      <x:c r="P118" s="16">
        <x:f>IF(OR($B118="",$H118=""),"",IFERROR($H118/VLOOKUP($B118,Customers!$A$2:$J$201,10,FALSE),""))</x:f>
      </x:c>
      <x:c r="Q118" s="17">
        <x:f>IF($A118="","",IF($H118&lt;=0,"已回清",IF($J118="","",IF($J118&gt;90,"坏账风险",IF($J118&gt;60,"高风险",IF($J118&gt;30,"中风险",IF($J118&gt;0,"预警","正常")))))))</x:f>
      </x:c>
      <x:c r="R118" s="17">
        <x:f>IF($A118="","",IF($Q118="","",IF($Q118="坏账风险","法务介入 / 准备诉讼",IF($Q118="高风险","上门沟通 / 部门经理介入",IF($Q118="中风险","电话催收 / 周度跟进",IF($Q118="预警","提醒客户按期回款","持续跟踪"))))))</x:f>
      </x:c>
      <x:c r="S118" s="13" t="n"/>
      <x:c r="T118" s="12" t="n"/>
      <x:c r="U118" s="17">
        <x:f>IF($A118="","",IF($H118&lt;=0,0,IF($J118="",0,$J118*100000000+$H118*100+ROW()/1000)))</x:f>
      </x:c>
    </x:row>
    <x:row r="119">
      <x:c r="A119" s="12" t="n"/>
      <x:c r="B119" s="12" t="n"/>
      <x:c r="C119" s="12" t="n"/>
      <x:c r="D119" s="12" t="n"/>
      <x:c r="E119" s="12" t="n"/>
      <x:c r="F119" s="14" t="n"/>
      <x:c r="G119" s="14" t="n"/>
      <x:c r="H119" s="15">
        <x:f>IF(AND($F119="",$G119=""),"",MAX($F119-$G119,0))</x:f>
      </x:c>
      <x:c r="I119" s="13" t="n"/>
      <x:c r="J119" s="17">
        <x:f>IF($A119="","",IF(OR($I119="",$H119&lt;=0),"",MAX(TODAY()-$I119,0)))</x:f>
      </x:c>
      <x:c r="K119" s="17">
        <x:f>IF($A119="","",IF($H119&lt;=0,"已回清",IF($I119="","",IF($J119=0,"未到期",IF($J119&lt;=30,"1-30天",IF($J119&lt;=60,"31-60天",IF($J119&lt;=90,"61-90天","90天以上")))))))</x:f>
      </x:c>
      <x:c r="L119" s="14" t="n"/>
      <x:c r="M119" s="14" t="n"/>
      <x:c r="N119" s="16">
        <x:f>IF($A119="","",IF($F119="","",IF($F119=0,0,$G119/$F119)))</x:f>
      </x:c>
      <x:c r="O119" s="12" t="n"/>
      <x:c r="P119" s="16">
        <x:f>IF(OR($B119="",$H119=""),"",IFERROR($H119/VLOOKUP($B119,Customers!$A$2:$J$201,10,FALSE),""))</x:f>
      </x:c>
      <x:c r="Q119" s="17">
        <x:f>IF($A119="","",IF($H119&lt;=0,"已回清",IF($J119="","",IF($J119&gt;90,"坏账风险",IF($J119&gt;60,"高风险",IF($J119&gt;30,"中风险",IF($J119&gt;0,"预警","正常")))))))</x:f>
      </x:c>
      <x:c r="R119" s="17">
        <x:f>IF($A119="","",IF($Q119="","",IF($Q119="坏账风险","法务介入 / 准备诉讼",IF($Q119="高风险","上门沟通 / 部门经理介入",IF($Q119="中风险","电话催收 / 周度跟进",IF($Q119="预警","提醒客户按期回款","持续跟踪"))))))</x:f>
      </x:c>
      <x:c r="S119" s="13" t="n"/>
      <x:c r="T119" s="12" t="n"/>
      <x:c r="U119" s="17">
        <x:f>IF($A119="","",IF($H119&lt;=0,0,IF($J119="",0,$J119*100000000+$H119*100+ROW()/1000)))</x:f>
      </x:c>
    </x:row>
    <x:row r="120">
      <x:c r="A120" s="12" t="n"/>
      <x:c r="B120" s="12" t="n"/>
      <x:c r="C120" s="12" t="n"/>
      <x:c r="D120" s="12" t="n"/>
      <x:c r="E120" s="12" t="n"/>
      <x:c r="F120" s="14" t="n"/>
      <x:c r="G120" s="14" t="n"/>
      <x:c r="H120" s="15">
        <x:f>IF(AND($F120="",$G120=""),"",MAX($F120-$G120,0))</x:f>
      </x:c>
      <x:c r="I120" s="13" t="n"/>
      <x:c r="J120" s="17">
        <x:f>IF($A120="","",IF(OR($I120="",$H120&lt;=0),"",MAX(TODAY()-$I120,0)))</x:f>
      </x:c>
      <x:c r="K120" s="17">
        <x:f>IF($A120="","",IF($H120&lt;=0,"已回清",IF($I120="","",IF($J120=0,"未到期",IF($J120&lt;=30,"1-30天",IF($J120&lt;=60,"31-60天",IF($J120&lt;=90,"61-90天","90天以上")))))))</x:f>
      </x:c>
      <x:c r="L120" s="14" t="n"/>
      <x:c r="M120" s="14" t="n"/>
      <x:c r="N120" s="16">
        <x:f>IF($A120="","",IF($F120="","",IF($F120=0,0,$G120/$F120)))</x:f>
      </x:c>
      <x:c r="O120" s="12" t="n"/>
      <x:c r="P120" s="16">
        <x:f>IF(OR($B120="",$H120=""),"",IFERROR($H120/VLOOKUP($B120,Customers!$A$2:$J$201,10,FALSE),""))</x:f>
      </x:c>
      <x:c r="Q120" s="17">
        <x:f>IF($A120="","",IF($H120&lt;=0,"已回清",IF($J120="","",IF($J120&gt;90,"坏账风险",IF($J120&gt;60,"高风险",IF($J120&gt;30,"中风险",IF($J120&gt;0,"预警","正常")))))))</x:f>
      </x:c>
      <x:c r="R120" s="17">
        <x:f>IF($A120="","",IF($Q120="","",IF($Q120="坏账风险","法务介入 / 准备诉讼",IF($Q120="高风险","上门沟通 / 部门经理介入",IF($Q120="中风险","电话催收 / 周度跟进",IF($Q120="预警","提醒客户按期回款","持续跟踪"))))))</x:f>
      </x:c>
      <x:c r="S120" s="13" t="n"/>
      <x:c r="T120" s="12" t="n"/>
      <x:c r="U120" s="17">
        <x:f>IF($A120="","",IF($H120&lt;=0,0,IF($J120="",0,$J120*100000000+$H120*100+ROW()/1000)))</x:f>
      </x:c>
    </x:row>
    <x:row r="121">
      <x:c r="A121" s="12" t="n"/>
      <x:c r="B121" s="12" t="n"/>
      <x:c r="C121" s="12" t="n"/>
      <x:c r="D121" s="12" t="n"/>
      <x:c r="E121" s="12" t="n"/>
      <x:c r="F121" s="14" t="n"/>
      <x:c r="G121" s="14" t="n"/>
      <x:c r="H121" s="15">
        <x:f>IF(AND($F121="",$G121=""),"",MAX($F121-$G121,0))</x:f>
      </x:c>
      <x:c r="I121" s="13" t="n"/>
      <x:c r="J121" s="17">
        <x:f>IF($A121="","",IF(OR($I121="",$H121&lt;=0),"",MAX(TODAY()-$I121,0)))</x:f>
      </x:c>
      <x:c r="K121" s="17">
        <x:f>IF($A121="","",IF($H121&lt;=0,"已回清",IF($I121="","",IF($J121=0,"未到期",IF($J121&lt;=30,"1-30天",IF($J121&lt;=60,"31-60天",IF($J121&lt;=90,"61-90天","90天以上")))))))</x:f>
      </x:c>
      <x:c r="L121" s="14" t="n"/>
      <x:c r="M121" s="14" t="n"/>
      <x:c r="N121" s="16">
        <x:f>IF($A121="","",IF($F121="","",IF($F121=0,0,$G121/$F121)))</x:f>
      </x:c>
      <x:c r="O121" s="12" t="n"/>
      <x:c r="P121" s="16">
        <x:f>IF(OR($B121="",$H121=""),"",IFERROR($H121/VLOOKUP($B121,Customers!$A$2:$J$201,10,FALSE),""))</x:f>
      </x:c>
      <x:c r="Q121" s="17">
        <x:f>IF($A121="","",IF($H121&lt;=0,"已回清",IF($J121="","",IF($J121&gt;90,"坏账风险",IF($J121&gt;60,"高风险",IF($J121&gt;30,"中风险",IF($J121&gt;0,"预警","正常")))))))</x:f>
      </x:c>
      <x:c r="R121" s="17">
        <x:f>IF($A121="","",IF($Q121="","",IF($Q121="坏账风险","法务介入 / 准备诉讼",IF($Q121="高风险","上门沟通 / 部门经理介入",IF($Q121="中风险","电话催收 / 周度跟进",IF($Q121="预警","提醒客户按期回款","持续跟踪"))))))</x:f>
      </x:c>
      <x:c r="S121" s="13" t="n"/>
      <x:c r="T121" s="12" t="n"/>
      <x:c r="U121" s="17">
        <x:f>IF($A121="","",IF($H121&lt;=0,0,IF($J121="",0,$J121*100000000+$H121*100+ROW()/1000)))</x:f>
      </x:c>
    </x:row>
    <x:row r="122">
      <x:c r="A122" s="12" t="n"/>
      <x:c r="B122" s="12" t="n"/>
      <x:c r="C122" s="12" t="n"/>
      <x:c r="D122" s="12" t="n"/>
      <x:c r="E122" s="12" t="n"/>
      <x:c r="F122" s="14" t="n"/>
      <x:c r="G122" s="14" t="n"/>
      <x:c r="H122" s="15">
        <x:f>IF(AND($F122="",$G122=""),"",MAX($F122-$G122,0))</x:f>
      </x:c>
      <x:c r="I122" s="13" t="n"/>
      <x:c r="J122" s="17">
        <x:f>IF($A122="","",IF(OR($I122="",$H122&lt;=0),"",MAX(TODAY()-$I122,0)))</x:f>
      </x:c>
      <x:c r="K122" s="17">
        <x:f>IF($A122="","",IF($H122&lt;=0,"已回清",IF($I122="","",IF($J122=0,"未到期",IF($J122&lt;=30,"1-30天",IF($J122&lt;=60,"31-60天",IF($J122&lt;=90,"61-90天","90天以上")))))))</x:f>
      </x:c>
      <x:c r="L122" s="14" t="n"/>
      <x:c r="M122" s="14" t="n"/>
      <x:c r="N122" s="16">
        <x:f>IF($A122="","",IF($F122="","",IF($F122=0,0,$G122/$F122)))</x:f>
      </x:c>
      <x:c r="O122" s="12" t="n"/>
      <x:c r="P122" s="16">
        <x:f>IF(OR($B122="",$H122=""),"",IFERROR($H122/VLOOKUP($B122,Customers!$A$2:$J$201,10,FALSE),""))</x:f>
      </x:c>
      <x:c r="Q122" s="17">
        <x:f>IF($A122="","",IF($H122&lt;=0,"已回清",IF($J122="","",IF($J122&gt;90,"坏账风险",IF($J122&gt;60,"高风险",IF($J122&gt;30,"中风险",IF($J122&gt;0,"预警","正常")))))))</x:f>
      </x:c>
      <x:c r="R122" s="17">
        <x:f>IF($A122="","",IF($Q122="","",IF($Q122="坏账风险","法务介入 / 准备诉讼",IF($Q122="高风险","上门沟通 / 部门经理介入",IF($Q122="中风险","电话催收 / 周度跟进",IF($Q122="预警","提醒客户按期回款","持续跟踪"))))))</x:f>
      </x:c>
      <x:c r="S122" s="13" t="n"/>
      <x:c r="T122" s="12" t="n"/>
      <x:c r="U122" s="17">
        <x:f>IF($A122="","",IF($H122&lt;=0,0,IF($J122="",0,$J122*100000000+$H122*100+ROW()/1000)))</x:f>
      </x:c>
    </x:row>
    <x:row r="123">
      <x:c r="A123" s="12" t="n"/>
      <x:c r="B123" s="12" t="n"/>
      <x:c r="C123" s="12" t="n"/>
      <x:c r="D123" s="12" t="n"/>
      <x:c r="E123" s="12" t="n"/>
      <x:c r="F123" s="14" t="n"/>
      <x:c r="G123" s="14" t="n"/>
      <x:c r="H123" s="15">
        <x:f>IF(AND($F123="",$G123=""),"",MAX($F123-$G123,0))</x:f>
      </x:c>
      <x:c r="I123" s="13" t="n"/>
      <x:c r="J123" s="17">
        <x:f>IF($A123="","",IF(OR($I123="",$H123&lt;=0),"",MAX(TODAY()-$I123,0)))</x:f>
      </x:c>
      <x:c r="K123" s="17">
        <x:f>IF($A123="","",IF($H123&lt;=0,"已回清",IF($I123="","",IF($J123=0,"未到期",IF($J123&lt;=30,"1-30天",IF($J123&lt;=60,"31-60天",IF($J123&lt;=90,"61-90天","90天以上")))))))</x:f>
      </x:c>
      <x:c r="L123" s="14" t="n"/>
      <x:c r="M123" s="14" t="n"/>
      <x:c r="N123" s="16">
        <x:f>IF($A123="","",IF($F123="","",IF($F123=0,0,$G123/$F123)))</x:f>
      </x:c>
      <x:c r="O123" s="12" t="n"/>
      <x:c r="P123" s="16">
        <x:f>IF(OR($B123="",$H123=""),"",IFERROR($H123/VLOOKUP($B123,Customers!$A$2:$J$201,10,FALSE),""))</x:f>
      </x:c>
      <x:c r="Q123" s="17">
        <x:f>IF($A123="","",IF($H123&lt;=0,"已回清",IF($J123="","",IF($J123&gt;90,"坏账风险",IF($J123&gt;60,"高风险",IF($J123&gt;30,"中风险",IF($J123&gt;0,"预警","正常")))))))</x:f>
      </x:c>
      <x:c r="R123" s="17">
        <x:f>IF($A123="","",IF($Q123="","",IF($Q123="坏账风险","法务介入 / 准备诉讼",IF($Q123="高风险","上门沟通 / 部门经理介入",IF($Q123="中风险","电话催收 / 周度跟进",IF($Q123="预警","提醒客户按期回款","持续跟踪"))))))</x:f>
      </x:c>
      <x:c r="S123" s="13" t="n"/>
      <x:c r="T123" s="12" t="n"/>
      <x:c r="U123" s="17">
        <x:f>IF($A123="","",IF($H123&lt;=0,0,IF($J123="",0,$J123*100000000+$H123*100+ROW()/1000)))</x:f>
      </x:c>
    </x:row>
    <x:row r="124">
      <x:c r="A124" s="12" t="n"/>
      <x:c r="B124" s="12" t="n"/>
      <x:c r="C124" s="12" t="n"/>
      <x:c r="D124" s="12" t="n"/>
      <x:c r="E124" s="12" t="n"/>
      <x:c r="F124" s="14" t="n"/>
      <x:c r="G124" s="14" t="n"/>
      <x:c r="H124" s="15">
        <x:f>IF(AND($F124="",$G124=""),"",MAX($F124-$G124,0))</x:f>
      </x:c>
      <x:c r="I124" s="13" t="n"/>
      <x:c r="J124" s="17">
        <x:f>IF($A124="","",IF(OR($I124="",$H124&lt;=0),"",MAX(TODAY()-$I124,0)))</x:f>
      </x:c>
      <x:c r="K124" s="17">
        <x:f>IF($A124="","",IF($H124&lt;=0,"已回清",IF($I124="","",IF($J124=0,"未到期",IF($J124&lt;=30,"1-30天",IF($J124&lt;=60,"31-60天",IF($J124&lt;=90,"61-90天","90天以上")))))))</x:f>
      </x:c>
      <x:c r="L124" s="14" t="n"/>
      <x:c r="M124" s="14" t="n"/>
      <x:c r="N124" s="16">
        <x:f>IF($A124="","",IF($F124="","",IF($F124=0,0,$G124/$F124)))</x:f>
      </x:c>
      <x:c r="O124" s="12" t="n"/>
      <x:c r="P124" s="16">
        <x:f>IF(OR($B124="",$H124=""),"",IFERROR($H124/VLOOKUP($B124,Customers!$A$2:$J$201,10,FALSE),""))</x:f>
      </x:c>
      <x:c r="Q124" s="17">
        <x:f>IF($A124="","",IF($H124&lt;=0,"已回清",IF($J124="","",IF($J124&gt;90,"坏账风险",IF($J124&gt;60,"高风险",IF($J124&gt;30,"中风险",IF($J124&gt;0,"预警","正常")))))))</x:f>
      </x:c>
      <x:c r="R124" s="17">
        <x:f>IF($A124="","",IF($Q124="","",IF($Q124="坏账风险","法务介入 / 准备诉讼",IF($Q124="高风险","上门沟通 / 部门经理介入",IF($Q124="中风险","电话催收 / 周度跟进",IF($Q124="预警","提醒客户按期回款","持续跟踪"))))))</x:f>
      </x:c>
      <x:c r="S124" s="13" t="n"/>
      <x:c r="T124" s="12" t="n"/>
      <x:c r="U124" s="17">
        <x:f>IF($A124="","",IF($H124&lt;=0,0,IF($J124="",0,$J124*100000000+$H124*100+ROW()/1000)))</x:f>
      </x:c>
    </x:row>
    <x:row r="125">
      <x:c r="A125" s="12" t="n"/>
      <x:c r="B125" s="12" t="n"/>
      <x:c r="C125" s="12" t="n"/>
      <x:c r="D125" s="12" t="n"/>
      <x:c r="E125" s="12" t="n"/>
      <x:c r="F125" s="14" t="n"/>
      <x:c r="G125" s="14" t="n"/>
      <x:c r="H125" s="15">
        <x:f>IF(AND($F125="",$G125=""),"",MAX($F125-$G125,0))</x:f>
      </x:c>
      <x:c r="I125" s="13" t="n"/>
      <x:c r="J125" s="17">
        <x:f>IF($A125="","",IF(OR($I125="",$H125&lt;=0),"",MAX(TODAY()-$I125,0)))</x:f>
      </x:c>
      <x:c r="K125" s="17">
        <x:f>IF($A125="","",IF($H125&lt;=0,"已回清",IF($I125="","",IF($J125=0,"未到期",IF($J125&lt;=30,"1-30天",IF($J125&lt;=60,"31-60天",IF($J125&lt;=90,"61-90天","90天以上")))))))</x:f>
      </x:c>
      <x:c r="L125" s="14" t="n"/>
      <x:c r="M125" s="14" t="n"/>
      <x:c r="N125" s="16">
        <x:f>IF($A125="","",IF($F125="","",IF($F125=0,0,$G125/$F125)))</x:f>
      </x:c>
      <x:c r="O125" s="12" t="n"/>
      <x:c r="P125" s="16">
        <x:f>IF(OR($B125="",$H125=""),"",IFERROR($H125/VLOOKUP($B125,Customers!$A$2:$J$201,10,FALSE),""))</x:f>
      </x:c>
      <x:c r="Q125" s="17">
        <x:f>IF($A125="","",IF($H125&lt;=0,"已回清",IF($J125="","",IF($J125&gt;90,"坏账风险",IF($J125&gt;60,"高风险",IF($J125&gt;30,"中风险",IF($J125&gt;0,"预警","正常")))))))</x:f>
      </x:c>
      <x:c r="R125" s="17">
        <x:f>IF($A125="","",IF($Q125="","",IF($Q125="坏账风险","法务介入 / 准备诉讼",IF($Q125="高风险","上门沟通 / 部门经理介入",IF($Q125="中风险","电话催收 / 周度跟进",IF($Q125="预警","提醒客户按期回款","持续跟踪"))))))</x:f>
      </x:c>
      <x:c r="S125" s="13" t="n"/>
      <x:c r="T125" s="12" t="n"/>
      <x:c r="U125" s="17">
        <x:f>IF($A125="","",IF($H125&lt;=0,0,IF($J125="",0,$J125*100000000+$H125*100+ROW()/1000)))</x:f>
      </x:c>
    </x:row>
    <x:row r="126">
      <x:c r="A126" s="12" t="n"/>
      <x:c r="B126" s="12" t="n"/>
      <x:c r="C126" s="12" t="n"/>
      <x:c r="D126" s="12" t="n"/>
      <x:c r="E126" s="12" t="n"/>
      <x:c r="F126" s="14" t="n"/>
      <x:c r="G126" s="14" t="n"/>
      <x:c r="H126" s="15">
        <x:f>IF(AND($F126="",$G126=""),"",MAX($F126-$G126,0))</x:f>
      </x:c>
      <x:c r="I126" s="13" t="n"/>
      <x:c r="J126" s="17">
        <x:f>IF($A126="","",IF(OR($I126="",$H126&lt;=0),"",MAX(TODAY()-$I126,0)))</x:f>
      </x:c>
      <x:c r="K126" s="17">
        <x:f>IF($A126="","",IF($H126&lt;=0,"已回清",IF($I126="","",IF($J126=0,"未到期",IF($J126&lt;=30,"1-30天",IF($J126&lt;=60,"31-60天",IF($J126&lt;=90,"61-90天","90天以上")))))))</x:f>
      </x:c>
      <x:c r="L126" s="14" t="n"/>
      <x:c r="M126" s="14" t="n"/>
      <x:c r="N126" s="16">
        <x:f>IF($A126="","",IF($F126="","",IF($F126=0,0,$G126/$F126)))</x:f>
      </x:c>
      <x:c r="O126" s="12" t="n"/>
      <x:c r="P126" s="16">
        <x:f>IF(OR($B126="",$H126=""),"",IFERROR($H126/VLOOKUP($B126,Customers!$A$2:$J$201,10,FALSE),""))</x:f>
      </x:c>
      <x:c r="Q126" s="17">
        <x:f>IF($A126="","",IF($H126&lt;=0,"已回清",IF($J126="","",IF($J126&gt;90,"坏账风险",IF($J126&gt;60,"高风险",IF($J126&gt;30,"中风险",IF($J126&gt;0,"预警","正常")))))))</x:f>
      </x:c>
      <x:c r="R126" s="17">
        <x:f>IF($A126="","",IF($Q126="","",IF($Q126="坏账风险","法务介入 / 准备诉讼",IF($Q126="高风险","上门沟通 / 部门经理介入",IF($Q126="中风险","电话催收 / 周度跟进",IF($Q126="预警","提醒客户按期回款","持续跟踪"))))))</x:f>
      </x:c>
      <x:c r="S126" s="13" t="n"/>
      <x:c r="T126" s="12" t="n"/>
      <x:c r="U126" s="17">
        <x:f>IF($A126="","",IF($H126&lt;=0,0,IF($J126="",0,$J126*100000000+$H126*100+ROW()/1000)))</x:f>
      </x:c>
    </x:row>
    <x:row r="127">
      <x:c r="A127" s="12" t="n"/>
      <x:c r="B127" s="12" t="n"/>
      <x:c r="C127" s="12" t="n"/>
      <x:c r="D127" s="12" t="n"/>
      <x:c r="E127" s="12" t="n"/>
      <x:c r="F127" s="14" t="n"/>
      <x:c r="G127" s="14" t="n"/>
      <x:c r="H127" s="15">
        <x:f>IF(AND($F127="",$G127=""),"",MAX($F127-$G127,0))</x:f>
      </x:c>
      <x:c r="I127" s="13" t="n"/>
      <x:c r="J127" s="17">
        <x:f>IF($A127="","",IF(OR($I127="",$H127&lt;=0),"",MAX(TODAY()-$I127,0)))</x:f>
      </x:c>
      <x:c r="K127" s="17">
        <x:f>IF($A127="","",IF($H127&lt;=0,"已回清",IF($I127="","",IF($J127=0,"未到期",IF($J127&lt;=30,"1-30天",IF($J127&lt;=60,"31-60天",IF($J127&lt;=90,"61-90天","90天以上")))))))</x:f>
      </x:c>
      <x:c r="L127" s="14" t="n"/>
      <x:c r="M127" s="14" t="n"/>
      <x:c r="N127" s="16">
        <x:f>IF($A127="","",IF($F127="","",IF($F127=0,0,$G127/$F127)))</x:f>
      </x:c>
      <x:c r="O127" s="12" t="n"/>
      <x:c r="P127" s="16">
        <x:f>IF(OR($B127="",$H127=""),"",IFERROR($H127/VLOOKUP($B127,Customers!$A$2:$J$201,10,FALSE),""))</x:f>
      </x:c>
      <x:c r="Q127" s="17">
        <x:f>IF($A127="","",IF($H127&lt;=0,"已回清",IF($J127="","",IF($J127&gt;90,"坏账风险",IF($J127&gt;60,"高风险",IF($J127&gt;30,"中风险",IF($J127&gt;0,"预警","正常")))))))</x:f>
      </x:c>
      <x:c r="R127" s="17">
        <x:f>IF($A127="","",IF($Q127="","",IF($Q127="坏账风险","法务介入 / 准备诉讼",IF($Q127="高风险","上门沟通 / 部门经理介入",IF($Q127="中风险","电话催收 / 周度跟进",IF($Q127="预警","提醒客户按期回款","持续跟踪"))))))</x:f>
      </x:c>
      <x:c r="S127" s="13" t="n"/>
      <x:c r="T127" s="12" t="n"/>
      <x:c r="U127" s="17">
        <x:f>IF($A127="","",IF($H127&lt;=0,0,IF($J127="",0,$J127*100000000+$H127*100+ROW()/1000)))</x:f>
      </x:c>
    </x:row>
    <x:row r="128">
      <x:c r="A128" s="12" t="n"/>
      <x:c r="B128" s="12" t="n"/>
      <x:c r="C128" s="12" t="n"/>
      <x:c r="D128" s="12" t="n"/>
      <x:c r="E128" s="12" t="n"/>
      <x:c r="F128" s="14" t="n"/>
      <x:c r="G128" s="14" t="n"/>
      <x:c r="H128" s="15">
        <x:f>IF(AND($F128="",$G128=""),"",MAX($F128-$G128,0))</x:f>
      </x:c>
      <x:c r="I128" s="13" t="n"/>
      <x:c r="J128" s="17">
        <x:f>IF($A128="","",IF(OR($I128="",$H128&lt;=0),"",MAX(TODAY()-$I128,0)))</x:f>
      </x:c>
      <x:c r="K128" s="17">
        <x:f>IF($A128="","",IF($H128&lt;=0,"已回清",IF($I128="","",IF($J128=0,"未到期",IF($J128&lt;=30,"1-30天",IF($J128&lt;=60,"31-60天",IF($J128&lt;=90,"61-90天","90天以上")))))))</x:f>
      </x:c>
      <x:c r="L128" s="14" t="n"/>
      <x:c r="M128" s="14" t="n"/>
      <x:c r="N128" s="16">
        <x:f>IF($A128="","",IF($F128="","",IF($F128=0,0,$G128/$F128)))</x:f>
      </x:c>
      <x:c r="O128" s="12" t="n"/>
      <x:c r="P128" s="16">
        <x:f>IF(OR($B128="",$H128=""),"",IFERROR($H128/VLOOKUP($B128,Customers!$A$2:$J$201,10,FALSE),""))</x:f>
      </x:c>
      <x:c r="Q128" s="17">
        <x:f>IF($A128="","",IF($H128&lt;=0,"已回清",IF($J128="","",IF($J128&gt;90,"坏账风险",IF($J128&gt;60,"高风险",IF($J128&gt;30,"中风险",IF($J128&gt;0,"预警","正常")))))))</x:f>
      </x:c>
      <x:c r="R128" s="17">
        <x:f>IF($A128="","",IF($Q128="","",IF($Q128="坏账风险","法务介入 / 准备诉讼",IF($Q128="高风险","上门沟通 / 部门经理介入",IF($Q128="中风险","电话催收 / 周度跟进",IF($Q128="预警","提醒客户按期回款","持续跟踪"))))))</x:f>
      </x:c>
      <x:c r="S128" s="13" t="n"/>
      <x:c r="T128" s="12" t="n"/>
      <x:c r="U128" s="17">
        <x:f>IF($A128="","",IF($H128&lt;=0,0,IF($J128="",0,$J128*100000000+$H128*100+ROW()/1000)))</x:f>
      </x:c>
    </x:row>
    <x:row r="129">
      <x:c r="A129" s="12" t="n"/>
      <x:c r="B129" s="12" t="n"/>
      <x:c r="C129" s="12" t="n"/>
      <x:c r="D129" s="12" t="n"/>
      <x:c r="E129" s="12" t="n"/>
      <x:c r="F129" s="14" t="n"/>
      <x:c r="G129" s="14" t="n"/>
      <x:c r="H129" s="15">
        <x:f>IF(AND($F129="",$G129=""),"",MAX($F129-$G129,0))</x:f>
      </x:c>
      <x:c r="I129" s="13" t="n"/>
      <x:c r="J129" s="17">
        <x:f>IF($A129="","",IF(OR($I129="",$H129&lt;=0),"",MAX(TODAY()-$I129,0)))</x:f>
      </x:c>
      <x:c r="K129" s="17">
        <x:f>IF($A129="","",IF($H129&lt;=0,"已回清",IF($I129="","",IF($J129=0,"未到期",IF($J129&lt;=30,"1-30天",IF($J129&lt;=60,"31-60天",IF($J129&lt;=90,"61-90天","90天以上")))))))</x:f>
      </x:c>
      <x:c r="L129" s="14" t="n"/>
      <x:c r="M129" s="14" t="n"/>
      <x:c r="N129" s="16">
        <x:f>IF($A129="","",IF($F129="","",IF($F129=0,0,$G129/$F129)))</x:f>
      </x:c>
      <x:c r="O129" s="12" t="n"/>
      <x:c r="P129" s="16">
        <x:f>IF(OR($B129="",$H129=""),"",IFERROR($H129/VLOOKUP($B129,Customers!$A$2:$J$201,10,FALSE),""))</x:f>
      </x:c>
      <x:c r="Q129" s="17">
        <x:f>IF($A129="","",IF($H129&lt;=0,"已回清",IF($J129="","",IF($J129&gt;90,"坏账风险",IF($J129&gt;60,"高风险",IF($J129&gt;30,"中风险",IF($J129&gt;0,"预警","正常")))))))</x:f>
      </x:c>
      <x:c r="R129" s="17">
        <x:f>IF($A129="","",IF($Q129="","",IF($Q129="坏账风险","法务介入 / 准备诉讼",IF($Q129="高风险","上门沟通 / 部门经理介入",IF($Q129="中风险","电话催收 / 周度跟进",IF($Q129="预警","提醒客户按期回款","持续跟踪"))))))</x:f>
      </x:c>
      <x:c r="S129" s="13" t="n"/>
      <x:c r="T129" s="12" t="n"/>
      <x:c r="U129" s="17">
        <x:f>IF($A129="","",IF($H129&lt;=0,0,IF($J129="",0,$J129*100000000+$H129*100+ROW()/1000)))</x:f>
      </x:c>
    </x:row>
    <x:row r="130">
      <x:c r="A130" s="12" t="n"/>
      <x:c r="B130" s="12" t="n"/>
      <x:c r="C130" s="12" t="n"/>
      <x:c r="D130" s="12" t="n"/>
      <x:c r="E130" s="12" t="n"/>
      <x:c r="F130" s="14" t="n"/>
      <x:c r="G130" s="14" t="n"/>
      <x:c r="H130" s="15">
        <x:f>IF(AND($F130="",$G130=""),"",MAX($F130-$G130,0))</x:f>
      </x:c>
      <x:c r="I130" s="13" t="n"/>
      <x:c r="J130" s="17">
        <x:f>IF($A130="","",IF(OR($I130="",$H130&lt;=0),"",MAX(TODAY()-$I130,0)))</x:f>
      </x:c>
      <x:c r="K130" s="17">
        <x:f>IF($A130="","",IF($H130&lt;=0,"已回清",IF($I130="","",IF($J130=0,"未到期",IF($J130&lt;=30,"1-30天",IF($J130&lt;=60,"31-60天",IF($J130&lt;=90,"61-90天","90天以上")))))))</x:f>
      </x:c>
      <x:c r="L130" s="14" t="n"/>
      <x:c r="M130" s="14" t="n"/>
      <x:c r="N130" s="16">
        <x:f>IF($A130="","",IF($F130="","",IF($F130=0,0,$G130/$F130)))</x:f>
      </x:c>
      <x:c r="O130" s="12" t="n"/>
      <x:c r="P130" s="16">
        <x:f>IF(OR($B130="",$H130=""),"",IFERROR($H130/VLOOKUP($B130,Customers!$A$2:$J$201,10,FALSE),""))</x:f>
      </x:c>
      <x:c r="Q130" s="17">
        <x:f>IF($A130="","",IF($H130&lt;=0,"已回清",IF($J130="","",IF($J130&gt;90,"坏账风险",IF($J130&gt;60,"高风险",IF($J130&gt;30,"中风险",IF($J130&gt;0,"预警","正常")))))))</x:f>
      </x:c>
      <x:c r="R130" s="17">
        <x:f>IF($A130="","",IF($Q130="","",IF($Q130="坏账风险","法务介入 / 准备诉讼",IF($Q130="高风险","上门沟通 / 部门经理介入",IF($Q130="中风险","电话催收 / 周度跟进",IF($Q130="预警","提醒客户按期回款","持续跟踪"))))))</x:f>
      </x:c>
      <x:c r="S130" s="13" t="n"/>
      <x:c r="T130" s="12" t="n"/>
      <x:c r="U130" s="17">
        <x:f>IF($A130="","",IF($H130&lt;=0,0,IF($J130="",0,$J130*100000000+$H130*100+ROW()/1000)))</x:f>
      </x:c>
    </x:row>
    <x:row r="131">
      <x:c r="A131" s="12" t="n"/>
      <x:c r="B131" s="12" t="n"/>
      <x:c r="C131" s="12" t="n"/>
      <x:c r="D131" s="12" t="n"/>
      <x:c r="E131" s="12" t="n"/>
      <x:c r="F131" s="14" t="n"/>
      <x:c r="G131" s="14" t="n"/>
      <x:c r="H131" s="15">
        <x:f>IF(AND($F131="",$G131=""),"",MAX($F131-$G131,0))</x:f>
      </x:c>
      <x:c r="I131" s="13" t="n"/>
      <x:c r="J131" s="17">
        <x:f>IF($A131="","",IF(OR($I131="",$H131&lt;=0),"",MAX(TODAY()-$I131,0)))</x:f>
      </x:c>
      <x:c r="K131" s="17">
        <x:f>IF($A131="","",IF($H131&lt;=0,"已回清",IF($I131="","",IF($J131=0,"未到期",IF($J131&lt;=30,"1-30天",IF($J131&lt;=60,"31-60天",IF($J131&lt;=90,"61-90天","90天以上")))))))</x:f>
      </x:c>
      <x:c r="L131" s="14" t="n"/>
      <x:c r="M131" s="14" t="n"/>
      <x:c r="N131" s="16">
        <x:f>IF($A131="","",IF($F131="","",IF($F131=0,0,$G131/$F131)))</x:f>
      </x:c>
      <x:c r="O131" s="12" t="n"/>
      <x:c r="P131" s="16">
        <x:f>IF(OR($B131="",$H131=""),"",IFERROR($H131/VLOOKUP($B131,Customers!$A$2:$J$201,10,FALSE),""))</x:f>
      </x:c>
      <x:c r="Q131" s="17">
        <x:f>IF($A131="","",IF($H131&lt;=0,"已回清",IF($J131="","",IF($J131&gt;90,"坏账风险",IF($J131&gt;60,"高风险",IF($J131&gt;30,"中风险",IF($J131&gt;0,"预警","正常")))))))</x:f>
      </x:c>
      <x:c r="R131" s="17">
        <x:f>IF($A131="","",IF($Q131="","",IF($Q131="坏账风险","法务介入 / 准备诉讼",IF($Q131="高风险","上门沟通 / 部门经理介入",IF($Q131="中风险","电话催收 / 周度跟进",IF($Q131="预警","提醒客户按期回款","持续跟踪"))))))</x:f>
      </x:c>
      <x:c r="S131" s="13" t="n"/>
      <x:c r="T131" s="12" t="n"/>
      <x:c r="U131" s="17">
        <x:f>IF($A131="","",IF($H131&lt;=0,0,IF($J131="",0,$J131*100000000+$H131*100+ROW()/1000)))</x:f>
      </x:c>
    </x:row>
    <x:row r="132">
      <x:c r="A132" s="12" t="n"/>
      <x:c r="B132" s="12" t="n"/>
      <x:c r="C132" s="12" t="n"/>
      <x:c r="D132" s="12" t="n"/>
      <x:c r="E132" s="12" t="n"/>
      <x:c r="F132" s="14" t="n"/>
      <x:c r="G132" s="14" t="n"/>
      <x:c r="H132" s="15">
        <x:f>IF(AND($F132="",$G132=""),"",MAX($F132-$G132,0))</x:f>
      </x:c>
      <x:c r="I132" s="13" t="n"/>
      <x:c r="J132" s="17">
        <x:f>IF($A132="","",IF(OR($I132="",$H132&lt;=0),"",MAX(TODAY()-$I132,0)))</x:f>
      </x:c>
      <x:c r="K132" s="17">
        <x:f>IF($A132="","",IF($H132&lt;=0,"已回清",IF($I132="","",IF($J132=0,"未到期",IF($J132&lt;=30,"1-30天",IF($J132&lt;=60,"31-60天",IF($J132&lt;=90,"61-90天","90天以上")))))))</x:f>
      </x:c>
      <x:c r="L132" s="14" t="n"/>
      <x:c r="M132" s="14" t="n"/>
      <x:c r="N132" s="16">
        <x:f>IF($A132="","",IF($F132="","",IF($F132=0,0,$G132/$F132)))</x:f>
      </x:c>
      <x:c r="O132" s="12" t="n"/>
      <x:c r="P132" s="16">
        <x:f>IF(OR($B132="",$H132=""),"",IFERROR($H132/VLOOKUP($B132,Customers!$A$2:$J$201,10,FALSE),""))</x:f>
      </x:c>
      <x:c r="Q132" s="17">
        <x:f>IF($A132="","",IF($H132&lt;=0,"已回清",IF($J132="","",IF($J132&gt;90,"坏账风险",IF($J132&gt;60,"高风险",IF($J132&gt;30,"中风险",IF($J132&gt;0,"预警","正常")))))))</x:f>
      </x:c>
      <x:c r="R132" s="17">
        <x:f>IF($A132="","",IF($Q132="","",IF($Q132="坏账风险","法务介入 / 准备诉讼",IF($Q132="高风险","上门沟通 / 部门经理介入",IF($Q132="中风险","电话催收 / 周度跟进",IF($Q132="预警","提醒客户按期回款","持续跟踪"))))))</x:f>
      </x:c>
      <x:c r="S132" s="13" t="n"/>
      <x:c r="T132" s="12" t="n"/>
      <x:c r="U132" s="17">
        <x:f>IF($A132="","",IF($H132&lt;=0,0,IF($J132="",0,$J132*100000000+$H132*100+ROW()/1000)))</x:f>
      </x:c>
    </x:row>
    <x:row r="133">
      <x:c r="A133" s="12" t="n"/>
      <x:c r="B133" s="12" t="n"/>
      <x:c r="C133" s="12" t="n"/>
      <x:c r="D133" s="12" t="n"/>
      <x:c r="E133" s="12" t="n"/>
      <x:c r="F133" s="14" t="n"/>
      <x:c r="G133" s="14" t="n"/>
      <x:c r="H133" s="15">
        <x:f>IF(AND($F133="",$G133=""),"",MAX($F133-$G133,0))</x:f>
      </x:c>
      <x:c r="I133" s="13" t="n"/>
      <x:c r="J133" s="17">
        <x:f>IF($A133="","",IF(OR($I133="",$H133&lt;=0),"",MAX(TODAY()-$I133,0)))</x:f>
      </x:c>
      <x:c r="K133" s="17">
        <x:f>IF($A133="","",IF($H133&lt;=0,"已回清",IF($I133="","",IF($J133=0,"未到期",IF($J133&lt;=30,"1-30天",IF($J133&lt;=60,"31-60天",IF($J133&lt;=90,"61-90天","90天以上")))))))</x:f>
      </x:c>
      <x:c r="L133" s="14" t="n"/>
      <x:c r="M133" s="14" t="n"/>
      <x:c r="N133" s="16">
        <x:f>IF($A133="","",IF($F133="","",IF($F133=0,0,$G133/$F133)))</x:f>
      </x:c>
      <x:c r="O133" s="12" t="n"/>
      <x:c r="P133" s="16">
        <x:f>IF(OR($B133="",$H133=""),"",IFERROR($H133/VLOOKUP($B133,Customers!$A$2:$J$201,10,FALSE),""))</x:f>
      </x:c>
      <x:c r="Q133" s="17">
        <x:f>IF($A133="","",IF($H133&lt;=0,"已回清",IF($J133="","",IF($J133&gt;90,"坏账风险",IF($J133&gt;60,"高风险",IF($J133&gt;30,"中风险",IF($J133&gt;0,"预警","正常")))))))</x:f>
      </x:c>
      <x:c r="R133" s="17">
        <x:f>IF($A133="","",IF($Q133="","",IF($Q133="坏账风险","法务介入 / 准备诉讼",IF($Q133="高风险","上门沟通 / 部门经理介入",IF($Q133="中风险","电话催收 / 周度跟进",IF($Q133="预警","提醒客户按期回款","持续跟踪"))))))</x:f>
      </x:c>
      <x:c r="S133" s="13" t="n"/>
      <x:c r="T133" s="12" t="n"/>
      <x:c r="U133" s="17">
        <x:f>IF($A133="","",IF($H133&lt;=0,0,IF($J133="",0,$J133*100000000+$H133*100+ROW()/1000)))</x:f>
      </x:c>
    </x:row>
    <x:row r="134">
      <x:c r="A134" s="12" t="n"/>
      <x:c r="B134" s="12" t="n"/>
      <x:c r="C134" s="12" t="n"/>
      <x:c r="D134" s="12" t="n"/>
      <x:c r="E134" s="12" t="n"/>
      <x:c r="F134" s="14" t="n"/>
      <x:c r="G134" s="14" t="n"/>
      <x:c r="H134" s="15">
        <x:f>IF(AND($F134="",$G134=""),"",MAX($F134-$G134,0))</x:f>
      </x:c>
      <x:c r="I134" s="13" t="n"/>
      <x:c r="J134" s="17">
        <x:f>IF($A134="","",IF(OR($I134="",$H134&lt;=0),"",MAX(TODAY()-$I134,0)))</x:f>
      </x:c>
      <x:c r="K134" s="17">
        <x:f>IF($A134="","",IF($H134&lt;=0,"已回清",IF($I134="","",IF($J134=0,"未到期",IF($J134&lt;=30,"1-30天",IF($J134&lt;=60,"31-60天",IF($J134&lt;=90,"61-90天","90天以上")))))))</x:f>
      </x:c>
      <x:c r="L134" s="14" t="n"/>
      <x:c r="M134" s="14" t="n"/>
      <x:c r="N134" s="16">
        <x:f>IF($A134="","",IF($F134="","",IF($F134=0,0,$G134/$F134)))</x:f>
      </x:c>
      <x:c r="O134" s="12" t="n"/>
      <x:c r="P134" s="16">
        <x:f>IF(OR($B134="",$H134=""),"",IFERROR($H134/VLOOKUP($B134,Customers!$A$2:$J$201,10,FALSE),""))</x:f>
      </x:c>
      <x:c r="Q134" s="17">
        <x:f>IF($A134="","",IF($H134&lt;=0,"已回清",IF($J134="","",IF($J134&gt;90,"坏账风险",IF($J134&gt;60,"高风险",IF($J134&gt;30,"中风险",IF($J134&gt;0,"预警","正常")))))))</x:f>
      </x:c>
      <x:c r="R134" s="17">
        <x:f>IF($A134="","",IF($Q134="","",IF($Q134="坏账风险","法务介入 / 准备诉讼",IF($Q134="高风险","上门沟通 / 部门经理介入",IF($Q134="中风险","电话催收 / 周度跟进",IF($Q134="预警","提醒客户按期回款","持续跟踪"))))))</x:f>
      </x:c>
      <x:c r="S134" s="13" t="n"/>
      <x:c r="T134" s="12" t="n"/>
      <x:c r="U134" s="17">
        <x:f>IF($A134="","",IF($H134&lt;=0,0,IF($J134="",0,$J134*100000000+$H134*100+ROW()/1000)))</x:f>
      </x:c>
    </x:row>
    <x:row r="135">
      <x:c r="A135" s="12" t="n"/>
      <x:c r="B135" s="12" t="n"/>
      <x:c r="C135" s="12" t="n"/>
      <x:c r="D135" s="12" t="n"/>
      <x:c r="E135" s="12" t="n"/>
      <x:c r="F135" s="14" t="n"/>
      <x:c r="G135" s="14" t="n"/>
      <x:c r="H135" s="15">
        <x:f>IF(AND($F135="",$G135=""),"",MAX($F135-$G135,0))</x:f>
      </x:c>
      <x:c r="I135" s="13" t="n"/>
      <x:c r="J135" s="17">
        <x:f>IF($A135="","",IF(OR($I135="",$H135&lt;=0),"",MAX(TODAY()-$I135,0)))</x:f>
      </x:c>
      <x:c r="K135" s="17">
        <x:f>IF($A135="","",IF($H135&lt;=0,"已回清",IF($I135="","",IF($J135=0,"未到期",IF($J135&lt;=30,"1-30天",IF($J135&lt;=60,"31-60天",IF($J135&lt;=90,"61-90天","90天以上")))))))</x:f>
      </x:c>
      <x:c r="L135" s="14" t="n"/>
      <x:c r="M135" s="14" t="n"/>
      <x:c r="N135" s="16">
        <x:f>IF($A135="","",IF($F135="","",IF($F135=0,0,$G135/$F135)))</x:f>
      </x:c>
      <x:c r="O135" s="12" t="n"/>
      <x:c r="P135" s="16">
        <x:f>IF(OR($B135="",$H135=""),"",IFERROR($H135/VLOOKUP($B135,Customers!$A$2:$J$201,10,FALSE),""))</x:f>
      </x:c>
      <x:c r="Q135" s="17">
        <x:f>IF($A135="","",IF($H135&lt;=0,"已回清",IF($J135="","",IF($J135&gt;90,"坏账风险",IF($J135&gt;60,"高风险",IF($J135&gt;30,"中风险",IF($J135&gt;0,"预警","正常")))))))</x:f>
      </x:c>
      <x:c r="R135" s="17">
        <x:f>IF($A135="","",IF($Q135="","",IF($Q135="坏账风险","法务介入 / 准备诉讼",IF($Q135="高风险","上门沟通 / 部门经理介入",IF($Q135="中风险","电话催收 / 周度跟进",IF($Q135="预警","提醒客户按期回款","持续跟踪"))))))</x:f>
      </x:c>
      <x:c r="S135" s="13" t="n"/>
      <x:c r="T135" s="12" t="n"/>
      <x:c r="U135" s="17">
        <x:f>IF($A135="","",IF($H135&lt;=0,0,IF($J135="",0,$J135*100000000+$H135*100+ROW()/1000)))</x:f>
      </x:c>
    </x:row>
    <x:row r="136">
      <x:c r="A136" s="12" t="n"/>
      <x:c r="B136" s="12" t="n"/>
      <x:c r="C136" s="12" t="n"/>
      <x:c r="D136" s="12" t="n"/>
      <x:c r="E136" s="12" t="n"/>
      <x:c r="F136" s="14" t="n"/>
      <x:c r="G136" s="14" t="n"/>
      <x:c r="H136" s="15">
        <x:f>IF(AND($F136="",$G136=""),"",MAX($F136-$G136,0))</x:f>
      </x:c>
      <x:c r="I136" s="13" t="n"/>
      <x:c r="J136" s="17">
        <x:f>IF($A136="","",IF(OR($I136="",$H136&lt;=0),"",MAX(TODAY()-$I136,0)))</x:f>
      </x:c>
      <x:c r="K136" s="17">
        <x:f>IF($A136="","",IF($H136&lt;=0,"已回清",IF($I136="","",IF($J136=0,"未到期",IF($J136&lt;=30,"1-30天",IF($J136&lt;=60,"31-60天",IF($J136&lt;=90,"61-90天","90天以上")))))))</x:f>
      </x:c>
      <x:c r="L136" s="14" t="n"/>
      <x:c r="M136" s="14" t="n"/>
      <x:c r="N136" s="16">
        <x:f>IF($A136="","",IF($F136="","",IF($F136=0,0,$G136/$F136)))</x:f>
      </x:c>
      <x:c r="O136" s="12" t="n"/>
      <x:c r="P136" s="16">
        <x:f>IF(OR($B136="",$H136=""),"",IFERROR($H136/VLOOKUP($B136,Customers!$A$2:$J$201,10,FALSE),""))</x:f>
      </x:c>
      <x:c r="Q136" s="17">
        <x:f>IF($A136="","",IF($H136&lt;=0,"已回清",IF($J136="","",IF($J136&gt;90,"坏账风险",IF($J136&gt;60,"高风险",IF($J136&gt;30,"中风险",IF($J136&gt;0,"预警","正常")))))))</x:f>
      </x:c>
      <x:c r="R136" s="17">
        <x:f>IF($A136="","",IF($Q136="","",IF($Q136="坏账风险","法务介入 / 准备诉讼",IF($Q136="高风险","上门沟通 / 部门经理介入",IF($Q136="中风险","电话催收 / 周度跟进",IF($Q136="预警","提醒客户按期回款","持续跟踪"))))))</x:f>
      </x:c>
      <x:c r="S136" s="13" t="n"/>
      <x:c r="T136" s="12" t="n"/>
      <x:c r="U136" s="17">
        <x:f>IF($A136="","",IF($H136&lt;=0,0,IF($J136="",0,$J136*100000000+$H136*100+ROW()/1000)))</x:f>
      </x:c>
    </x:row>
    <x:row r="137">
      <x:c r="A137" s="12" t="n"/>
      <x:c r="B137" s="12" t="n"/>
      <x:c r="C137" s="12" t="n"/>
      <x:c r="D137" s="12" t="n"/>
      <x:c r="E137" s="12" t="n"/>
      <x:c r="F137" s="14" t="n"/>
      <x:c r="G137" s="14" t="n"/>
      <x:c r="H137" s="15">
        <x:f>IF(AND($F137="",$G137=""),"",MAX($F137-$G137,0))</x:f>
      </x:c>
      <x:c r="I137" s="13" t="n"/>
      <x:c r="J137" s="17">
        <x:f>IF($A137="","",IF(OR($I137="",$H137&lt;=0),"",MAX(TODAY()-$I137,0)))</x:f>
      </x:c>
      <x:c r="K137" s="17">
        <x:f>IF($A137="","",IF($H137&lt;=0,"已回清",IF($I137="","",IF($J137=0,"未到期",IF($J137&lt;=30,"1-30天",IF($J137&lt;=60,"31-60天",IF($J137&lt;=90,"61-90天","90天以上")))))))</x:f>
      </x:c>
      <x:c r="L137" s="14" t="n"/>
      <x:c r="M137" s="14" t="n"/>
      <x:c r="N137" s="16">
        <x:f>IF($A137="","",IF($F137="","",IF($F137=0,0,$G137/$F137)))</x:f>
      </x:c>
      <x:c r="O137" s="12" t="n"/>
      <x:c r="P137" s="16">
        <x:f>IF(OR($B137="",$H137=""),"",IFERROR($H137/VLOOKUP($B137,Customers!$A$2:$J$201,10,FALSE),""))</x:f>
      </x:c>
      <x:c r="Q137" s="17">
        <x:f>IF($A137="","",IF($H137&lt;=0,"已回清",IF($J137="","",IF($J137&gt;90,"坏账风险",IF($J137&gt;60,"高风险",IF($J137&gt;30,"中风险",IF($J137&gt;0,"预警","正常")))))))</x:f>
      </x:c>
      <x:c r="R137" s="17">
        <x:f>IF($A137="","",IF($Q137="","",IF($Q137="坏账风险","法务介入 / 准备诉讼",IF($Q137="高风险","上门沟通 / 部门经理介入",IF($Q137="中风险","电话催收 / 周度跟进",IF($Q137="预警","提醒客户按期回款","持续跟踪"))))))</x:f>
      </x:c>
      <x:c r="S137" s="13" t="n"/>
      <x:c r="T137" s="12" t="n"/>
      <x:c r="U137" s="17">
        <x:f>IF($A137="","",IF($H137&lt;=0,0,IF($J137="",0,$J137*100000000+$H137*100+ROW()/1000)))</x:f>
      </x:c>
    </x:row>
    <x:row r="138">
      <x:c r="A138" s="12" t="n"/>
      <x:c r="B138" s="12" t="n"/>
      <x:c r="C138" s="12" t="n"/>
      <x:c r="D138" s="12" t="n"/>
      <x:c r="E138" s="12" t="n"/>
      <x:c r="F138" s="14" t="n"/>
      <x:c r="G138" s="14" t="n"/>
      <x:c r="H138" s="15">
        <x:f>IF(AND($F138="",$G138=""),"",MAX($F138-$G138,0))</x:f>
      </x:c>
      <x:c r="I138" s="13" t="n"/>
      <x:c r="J138" s="17">
        <x:f>IF($A138="","",IF(OR($I138="",$H138&lt;=0),"",MAX(TODAY()-$I138,0)))</x:f>
      </x:c>
      <x:c r="K138" s="17">
        <x:f>IF($A138="","",IF($H138&lt;=0,"已回清",IF($I138="","",IF($J138=0,"未到期",IF($J138&lt;=30,"1-30天",IF($J138&lt;=60,"31-60天",IF($J138&lt;=90,"61-90天","90天以上")))))))</x:f>
      </x:c>
      <x:c r="L138" s="14" t="n"/>
      <x:c r="M138" s="14" t="n"/>
      <x:c r="N138" s="16">
        <x:f>IF($A138="","",IF($F138="","",IF($F138=0,0,$G138/$F138)))</x:f>
      </x:c>
      <x:c r="O138" s="12" t="n"/>
      <x:c r="P138" s="16">
        <x:f>IF(OR($B138="",$H138=""),"",IFERROR($H138/VLOOKUP($B138,Customers!$A$2:$J$201,10,FALSE),""))</x:f>
      </x:c>
      <x:c r="Q138" s="17">
        <x:f>IF($A138="","",IF($H138&lt;=0,"已回清",IF($J138="","",IF($J138&gt;90,"坏账风险",IF($J138&gt;60,"高风险",IF($J138&gt;30,"中风险",IF($J138&gt;0,"预警","正常")))))))</x:f>
      </x:c>
      <x:c r="R138" s="17">
        <x:f>IF($A138="","",IF($Q138="","",IF($Q138="坏账风险","法务介入 / 准备诉讼",IF($Q138="高风险","上门沟通 / 部门经理介入",IF($Q138="中风险","电话催收 / 周度跟进",IF($Q138="预警","提醒客户按期回款","持续跟踪"))))))</x:f>
      </x:c>
      <x:c r="S138" s="13" t="n"/>
      <x:c r="T138" s="12" t="n"/>
      <x:c r="U138" s="17">
        <x:f>IF($A138="","",IF($H138&lt;=0,0,IF($J138="",0,$J138*100000000+$H138*100+ROW()/1000)))</x:f>
      </x:c>
    </x:row>
    <x:row r="139">
      <x:c r="A139" s="12" t="n"/>
      <x:c r="B139" s="12" t="n"/>
      <x:c r="C139" s="12" t="n"/>
      <x:c r="D139" s="12" t="n"/>
      <x:c r="E139" s="12" t="n"/>
      <x:c r="F139" s="14" t="n"/>
      <x:c r="G139" s="14" t="n"/>
      <x:c r="H139" s="15">
        <x:f>IF(AND($F139="",$G139=""),"",MAX($F139-$G139,0))</x:f>
      </x:c>
      <x:c r="I139" s="13" t="n"/>
      <x:c r="J139" s="17">
        <x:f>IF($A139="","",IF(OR($I139="",$H139&lt;=0),"",MAX(TODAY()-$I139,0)))</x:f>
      </x:c>
      <x:c r="K139" s="17">
        <x:f>IF($A139="","",IF($H139&lt;=0,"已回清",IF($I139="","",IF($J139=0,"未到期",IF($J139&lt;=30,"1-30天",IF($J139&lt;=60,"31-60天",IF($J139&lt;=90,"61-90天","90天以上")))))))</x:f>
      </x:c>
      <x:c r="L139" s="14" t="n"/>
      <x:c r="M139" s="14" t="n"/>
      <x:c r="N139" s="16">
        <x:f>IF($A139="","",IF($F139="","",IF($F139=0,0,$G139/$F139)))</x:f>
      </x:c>
      <x:c r="O139" s="12" t="n"/>
      <x:c r="P139" s="16">
        <x:f>IF(OR($B139="",$H139=""),"",IFERROR($H139/VLOOKUP($B139,Customers!$A$2:$J$201,10,FALSE),""))</x:f>
      </x:c>
      <x:c r="Q139" s="17">
        <x:f>IF($A139="","",IF($H139&lt;=0,"已回清",IF($J139="","",IF($J139&gt;90,"坏账风险",IF($J139&gt;60,"高风险",IF($J139&gt;30,"中风险",IF($J139&gt;0,"预警","正常")))))))</x:f>
      </x:c>
      <x:c r="R139" s="17">
        <x:f>IF($A139="","",IF($Q139="","",IF($Q139="坏账风险","法务介入 / 准备诉讼",IF($Q139="高风险","上门沟通 / 部门经理介入",IF($Q139="中风险","电话催收 / 周度跟进",IF($Q139="预警","提醒客户按期回款","持续跟踪"))))))</x:f>
      </x:c>
      <x:c r="S139" s="13" t="n"/>
      <x:c r="T139" s="12" t="n"/>
      <x:c r="U139" s="17">
        <x:f>IF($A139="","",IF($H139&lt;=0,0,IF($J139="",0,$J139*100000000+$H139*100+ROW()/1000)))</x:f>
      </x:c>
    </x:row>
    <x:row r="140">
      <x:c r="A140" s="12" t="n"/>
      <x:c r="B140" s="12" t="n"/>
      <x:c r="C140" s="12" t="n"/>
      <x:c r="D140" s="12" t="n"/>
      <x:c r="E140" s="12" t="n"/>
      <x:c r="F140" s="14" t="n"/>
      <x:c r="G140" s="14" t="n"/>
      <x:c r="H140" s="15">
        <x:f>IF(AND($F140="",$G140=""),"",MAX($F140-$G140,0))</x:f>
      </x:c>
      <x:c r="I140" s="13" t="n"/>
      <x:c r="J140" s="17">
        <x:f>IF($A140="","",IF(OR($I140="",$H140&lt;=0),"",MAX(TODAY()-$I140,0)))</x:f>
      </x:c>
      <x:c r="K140" s="17">
        <x:f>IF($A140="","",IF($H140&lt;=0,"已回清",IF($I140="","",IF($J140=0,"未到期",IF($J140&lt;=30,"1-30天",IF($J140&lt;=60,"31-60天",IF($J140&lt;=90,"61-90天","90天以上")))))))</x:f>
      </x:c>
      <x:c r="L140" s="14" t="n"/>
      <x:c r="M140" s="14" t="n"/>
      <x:c r="N140" s="16">
        <x:f>IF($A140="","",IF($F140="","",IF($F140=0,0,$G140/$F140)))</x:f>
      </x:c>
      <x:c r="O140" s="12" t="n"/>
      <x:c r="P140" s="16">
        <x:f>IF(OR($B140="",$H140=""),"",IFERROR($H140/VLOOKUP($B140,Customers!$A$2:$J$201,10,FALSE),""))</x:f>
      </x:c>
      <x:c r="Q140" s="17">
        <x:f>IF($A140="","",IF($H140&lt;=0,"已回清",IF($J140="","",IF($J140&gt;90,"坏账风险",IF($J140&gt;60,"高风险",IF($J140&gt;30,"中风险",IF($J140&gt;0,"预警","正常")))))))</x:f>
      </x:c>
      <x:c r="R140" s="17">
        <x:f>IF($A140="","",IF($Q140="","",IF($Q140="坏账风险","法务介入 / 准备诉讼",IF($Q140="高风险","上门沟通 / 部门经理介入",IF($Q140="中风险","电话催收 / 周度跟进",IF($Q140="预警","提醒客户按期回款","持续跟踪"))))))</x:f>
      </x:c>
      <x:c r="S140" s="13" t="n"/>
      <x:c r="T140" s="12" t="n"/>
      <x:c r="U140" s="17">
        <x:f>IF($A140="","",IF($H140&lt;=0,0,IF($J140="",0,$J140*100000000+$H140*100+ROW()/1000)))</x:f>
      </x:c>
    </x:row>
    <x:row r="141">
      <x:c r="A141" s="12" t="n"/>
      <x:c r="B141" s="12" t="n"/>
      <x:c r="C141" s="12" t="n"/>
      <x:c r="D141" s="12" t="n"/>
      <x:c r="E141" s="12" t="n"/>
      <x:c r="F141" s="14" t="n"/>
      <x:c r="G141" s="14" t="n"/>
      <x:c r="H141" s="15">
        <x:f>IF(AND($F141="",$G141=""),"",MAX($F141-$G141,0))</x:f>
      </x:c>
      <x:c r="I141" s="13" t="n"/>
      <x:c r="J141" s="17">
        <x:f>IF($A141="","",IF(OR($I141="",$H141&lt;=0),"",MAX(TODAY()-$I141,0)))</x:f>
      </x:c>
      <x:c r="K141" s="17">
        <x:f>IF($A141="","",IF($H141&lt;=0,"已回清",IF($I141="","",IF($J141=0,"未到期",IF($J141&lt;=30,"1-30天",IF($J141&lt;=60,"31-60天",IF($J141&lt;=90,"61-90天","90天以上")))))))</x:f>
      </x:c>
      <x:c r="L141" s="14" t="n"/>
      <x:c r="M141" s="14" t="n"/>
      <x:c r="N141" s="16">
        <x:f>IF($A141="","",IF($F141="","",IF($F141=0,0,$G141/$F141)))</x:f>
      </x:c>
      <x:c r="O141" s="12" t="n"/>
      <x:c r="P141" s="16">
        <x:f>IF(OR($B141="",$H141=""),"",IFERROR($H141/VLOOKUP($B141,Customers!$A$2:$J$201,10,FALSE),""))</x:f>
      </x:c>
      <x:c r="Q141" s="17">
        <x:f>IF($A141="","",IF($H141&lt;=0,"已回清",IF($J141="","",IF($J141&gt;90,"坏账风险",IF($J141&gt;60,"高风险",IF($J141&gt;30,"中风险",IF($J141&gt;0,"预警","正常")))))))</x:f>
      </x:c>
      <x:c r="R141" s="17">
        <x:f>IF($A141="","",IF($Q141="","",IF($Q141="坏账风险","法务介入 / 准备诉讼",IF($Q141="高风险","上门沟通 / 部门经理介入",IF($Q141="中风险","电话催收 / 周度跟进",IF($Q141="预警","提醒客户按期回款","持续跟踪"))))))</x:f>
      </x:c>
      <x:c r="S141" s="13" t="n"/>
      <x:c r="T141" s="12" t="n"/>
      <x:c r="U141" s="17">
        <x:f>IF($A141="","",IF($H141&lt;=0,0,IF($J141="",0,$J141*100000000+$H141*100+ROW()/1000)))</x:f>
      </x:c>
    </x:row>
    <x:row r="142">
      <x:c r="A142" s="12" t="n"/>
      <x:c r="B142" s="12" t="n"/>
      <x:c r="C142" s="12" t="n"/>
      <x:c r="D142" s="12" t="n"/>
      <x:c r="E142" s="12" t="n"/>
      <x:c r="F142" s="14" t="n"/>
      <x:c r="G142" s="14" t="n"/>
      <x:c r="H142" s="15">
        <x:f>IF(AND($F142="",$G142=""),"",MAX($F142-$G142,0))</x:f>
      </x:c>
      <x:c r="I142" s="13" t="n"/>
      <x:c r="J142" s="17">
        <x:f>IF($A142="","",IF(OR($I142="",$H142&lt;=0),"",MAX(TODAY()-$I142,0)))</x:f>
      </x:c>
      <x:c r="K142" s="17">
        <x:f>IF($A142="","",IF($H142&lt;=0,"已回清",IF($I142="","",IF($J142=0,"未到期",IF($J142&lt;=30,"1-30天",IF($J142&lt;=60,"31-60天",IF($J142&lt;=90,"61-90天","90天以上")))))))</x:f>
      </x:c>
      <x:c r="L142" s="14" t="n"/>
      <x:c r="M142" s="14" t="n"/>
      <x:c r="N142" s="16">
        <x:f>IF($A142="","",IF($F142="","",IF($F142=0,0,$G142/$F142)))</x:f>
      </x:c>
      <x:c r="O142" s="12" t="n"/>
      <x:c r="P142" s="16">
        <x:f>IF(OR($B142="",$H142=""),"",IFERROR($H142/VLOOKUP($B142,Customers!$A$2:$J$201,10,FALSE),""))</x:f>
      </x:c>
      <x:c r="Q142" s="17">
        <x:f>IF($A142="","",IF($H142&lt;=0,"已回清",IF($J142="","",IF($J142&gt;90,"坏账风险",IF($J142&gt;60,"高风险",IF($J142&gt;30,"中风险",IF($J142&gt;0,"预警","正常")))))))</x:f>
      </x:c>
      <x:c r="R142" s="17">
        <x:f>IF($A142="","",IF($Q142="","",IF($Q142="坏账风险","法务介入 / 准备诉讼",IF($Q142="高风险","上门沟通 / 部门经理介入",IF($Q142="中风险","电话催收 / 周度跟进",IF($Q142="预警","提醒客户按期回款","持续跟踪"))))))</x:f>
      </x:c>
      <x:c r="S142" s="13" t="n"/>
      <x:c r="T142" s="12" t="n"/>
      <x:c r="U142" s="17">
        <x:f>IF($A142="","",IF($H142&lt;=0,0,IF($J142="",0,$J142*100000000+$H142*100+ROW()/1000)))</x:f>
      </x:c>
    </x:row>
    <x:row r="143">
      <x:c r="A143" s="12" t="n"/>
      <x:c r="B143" s="12" t="n"/>
      <x:c r="C143" s="12" t="n"/>
      <x:c r="D143" s="12" t="n"/>
      <x:c r="E143" s="12" t="n"/>
      <x:c r="F143" s="14" t="n"/>
      <x:c r="G143" s="14" t="n"/>
      <x:c r="H143" s="15">
        <x:f>IF(AND($F143="",$G143=""),"",MAX($F143-$G143,0))</x:f>
      </x:c>
      <x:c r="I143" s="13" t="n"/>
      <x:c r="J143" s="17">
        <x:f>IF($A143="","",IF(OR($I143="",$H143&lt;=0),"",MAX(TODAY()-$I143,0)))</x:f>
      </x:c>
      <x:c r="K143" s="17">
        <x:f>IF($A143="","",IF($H143&lt;=0,"已回清",IF($I143="","",IF($J143=0,"未到期",IF($J143&lt;=30,"1-30天",IF($J143&lt;=60,"31-60天",IF($J143&lt;=90,"61-90天","90天以上")))))))</x:f>
      </x:c>
      <x:c r="L143" s="14" t="n"/>
      <x:c r="M143" s="14" t="n"/>
      <x:c r="N143" s="16">
        <x:f>IF($A143="","",IF($F143="","",IF($F143=0,0,$G143/$F143)))</x:f>
      </x:c>
      <x:c r="O143" s="12" t="n"/>
      <x:c r="P143" s="16">
        <x:f>IF(OR($B143="",$H143=""),"",IFERROR($H143/VLOOKUP($B143,Customers!$A$2:$J$201,10,FALSE),""))</x:f>
      </x:c>
      <x:c r="Q143" s="17">
        <x:f>IF($A143="","",IF($H143&lt;=0,"已回清",IF($J143="","",IF($J143&gt;90,"坏账风险",IF($J143&gt;60,"高风险",IF($J143&gt;30,"中风险",IF($J143&gt;0,"预警","正常")))))))</x:f>
      </x:c>
      <x:c r="R143" s="17">
        <x:f>IF($A143="","",IF($Q143="","",IF($Q143="坏账风险","法务介入 / 准备诉讼",IF($Q143="高风险","上门沟通 / 部门经理介入",IF($Q143="中风险","电话催收 / 周度跟进",IF($Q143="预警","提醒客户按期回款","持续跟踪"))))))</x:f>
      </x:c>
      <x:c r="S143" s="13" t="n"/>
      <x:c r="T143" s="12" t="n"/>
      <x:c r="U143" s="17">
        <x:f>IF($A143="","",IF($H143&lt;=0,0,IF($J143="",0,$J143*100000000+$H143*100+ROW()/1000)))</x:f>
      </x:c>
    </x:row>
    <x:row r="144">
      <x:c r="A144" s="12" t="n"/>
      <x:c r="B144" s="12" t="n"/>
      <x:c r="C144" s="12" t="n"/>
      <x:c r="D144" s="12" t="n"/>
      <x:c r="E144" s="12" t="n"/>
      <x:c r="F144" s="14" t="n"/>
      <x:c r="G144" s="14" t="n"/>
      <x:c r="H144" s="15">
        <x:f>IF(AND($F144="",$G144=""),"",MAX($F144-$G144,0))</x:f>
      </x:c>
      <x:c r="I144" s="13" t="n"/>
      <x:c r="J144" s="17">
        <x:f>IF($A144="","",IF(OR($I144="",$H144&lt;=0),"",MAX(TODAY()-$I144,0)))</x:f>
      </x:c>
      <x:c r="K144" s="17">
        <x:f>IF($A144="","",IF($H144&lt;=0,"已回清",IF($I144="","",IF($J144=0,"未到期",IF($J144&lt;=30,"1-30天",IF($J144&lt;=60,"31-60天",IF($J144&lt;=90,"61-90天","90天以上")))))))</x:f>
      </x:c>
      <x:c r="L144" s="14" t="n"/>
      <x:c r="M144" s="14" t="n"/>
      <x:c r="N144" s="16">
        <x:f>IF($A144="","",IF($F144="","",IF($F144=0,0,$G144/$F144)))</x:f>
      </x:c>
      <x:c r="O144" s="12" t="n"/>
      <x:c r="P144" s="16">
        <x:f>IF(OR($B144="",$H144=""),"",IFERROR($H144/VLOOKUP($B144,Customers!$A$2:$J$201,10,FALSE),""))</x:f>
      </x:c>
      <x:c r="Q144" s="17">
        <x:f>IF($A144="","",IF($H144&lt;=0,"已回清",IF($J144="","",IF($J144&gt;90,"坏账风险",IF($J144&gt;60,"高风险",IF($J144&gt;30,"中风险",IF($J144&gt;0,"预警","正常")))))))</x:f>
      </x:c>
      <x:c r="R144" s="17">
        <x:f>IF($A144="","",IF($Q144="","",IF($Q144="坏账风险","法务介入 / 准备诉讼",IF($Q144="高风险","上门沟通 / 部门经理介入",IF($Q144="中风险","电话催收 / 周度跟进",IF($Q144="预警","提醒客户按期回款","持续跟踪"))))))</x:f>
      </x:c>
      <x:c r="S144" s="13" t="n"/>
      <x:c r="T144" s="12" t="n"/>
      <x:c r="U144" s="17">
        <x:f>IF($A144="","",IF($H144&lt;=0,0,IF($J144="",0,$J144*100000000+$H144*100+ROW()/1000)))</x:f>
      </x:c>
    </x:row>
    <x:row r="145">
      <x:c r="A145" s="12" t="n"/>
      <x:c r="B145" s="12" t="n"/>
      <x:c r="C145" s="12" t="n"/>
      <x:c r="D145" s="12" t="n"/>
      <x:c r="E145" s="12" t="n"/>
      <x:c r="F145" s="14" t="n"/>
      <x:c r="G145" s="14" t="n"/>
      <x:c r="H145" s="15">
        <x:f>IF(AND($F145="",$G145=""),"",MAX($F145-$G145,0))</x:f>
      </x:c>
      <x:c r="I145" s="13" t="n"/>
      <x:c r="J145" s="17">
        <x:f>IF($A145="","",IF(OR($I145="",$H145&lt;=0),"",MAX(TODAY()-$I145,0)))</x:f>
      </x:c>
      <x:c r="K145" s="17">
        <x:f>IF($A145="","",IF($H145&lt;=0,"已回清",IF($I145="","",IF($J145=0,"未到期",IF($J145&lt;=30,"1-30天",IF($J145&lt;=60,"31-60天",IF($J145&lt;=90,"61-90天","90天以上")))))))</x:f>
      </x:c>
      <x:c r="L145" s="14" t="n"/>
      <x:c r="M145" s="14" t="n"/>
      <x:c r="N145" s="16">
        <x:f>IF($A145="","",IF($F145="","",IF($F145=0,0,$G145/$F145)))</x:f>
      </x:c>
      <x:c r="O145" s="12" t="n"/>
      <x:c r="P145" s="16">
        <x:f>IF(OR($B145="",$H145=""),"",IFERROR($H145/VLOOKUP($B145,Customers!$A$2:$J$201,10,FALSE),""))</x:f>
      </x:c>
      <x:c r="Q145" s="17">
        <x:f>IF($A145="","",IF($H145&lt;=0,"已回清",IF($J145="","",IF($J145&gt;90,"坏账风险",IF($J145&gt;60,"高风险",IF($J145&gt;30,"中风险",IF($J145&gt;0,"预警","正常")))))))</x:f>
      </x:c>
      <x:c r="R145" s="17">
        <x:f>IF($A145="","",IF($Q145="","",IF($Q145="坏账风险","法务介入 / 准备诉讼",IF($Q145="高风险","上门沟通 / 部门经理介入",IF($Q145="中风险","电话催收 / 周度跟进",IF($Q145="预警","提醒客户按期回款","持续跟踪"))))))</x:f>
      </x:c>
      <x:c r="S145" s="13" t="n"/>
      <x:c r="T145" s="12" t="n"/>
      <x:c r="U145" s="17">
        <x:f>IF($A145="","",IF($H145&lt;=0,0,IF($J145="",0,$J145*100000000+$H145*100+ROW()/1000)))</x:f>
      </x:c>
    </x:row>
    <x:row r="146">
      <x:c r="A146" s="12" t="n"/>
      <x:c r="B146" s="12" t="n"/>
      <x:c r="C146" s="12" t="n"/>
      <x:c r="D146" s="12" t="n"/>
      <x:c r="E146" s="12" t="n"/>
      <x:c r="F146" s="14" t="n"/>
      <x:c r="G146" s="14" t="n"/>
      <x:c r="H146" s="15">
        <x:f>IF(AND($F146="",$G146=""),"",MAX($F146-$G146,0))</x:f>
      </x:c>
      <x:c r="I146" s="13" t="n"/>
      <x:c r="J146" s="17">
        <x:f>IF($A146="","",IF(OR($I146="",$H146&lt;=0),"",MAX(TODAY()-$I146,0)))</x:f>
      </x:c>
      <x:c r="K146" s="17">
        <x:f>IF($A146="","",IF($H146&lt;=0,"已回清",IF($I146="","",IF($J146=0,"未到期",IF($J146&lt;=30,"1-30天",IF($J146&lt;=60,"31-60天",IF($J146&lt;=90,"61-90天","90天以上")))))))</x:f>
      </x:c>
      <x:c r="L146" s="14" t="n"/>
      <x:c r="M146" s="14" t="n"/>
      <x:c r="N146" s="16">
        <x:f>IF($A146="","",IF($F146="","",IF($F146=0,0,$G146/$F146)))</x:f>
      </x:c>
      <x:c r="O146" s="12" t="n"/>
      <x:c r="P146" s="16">
        <x:f>IF(OR($B146="",$H146=""),"",IFERROR($H146/VLOOKUP($B146,Customers!$A$2:$J$201,10,FALSE),""))</x:f>
      </x:c>
      <x:c r="Q146" s="17">
        <x:f>IF($A146="","",IF($H146&lt;=0,"已回清",IF($J146="","",IF($J146&gt;90,"坏账风险",IF($J146&gt;60,"高风险",IF($J146&gt;30,"中风险",IF($J146&gt;0,"预警","正常")))))))</x:f>
      </x:c>
      <x:c r="R146" s="17">
        <x:f>IF($A146="","",IF($Q146="","",IF($Q146="坏账风险","法务介入 / 准备诉讼",IF($Q146="高风险","上门沟通 / 部门经理介入",IF($Q146="中风险","电话催收 / 周度跟进",IF($Q146="预警","提醒客户按期回款","持续跟踪"))))))</x:f>
      </x:c>
      <x:c r="S146" s="13" t="n"/>
      <x:c r="T146" s="12" t="n"/>
      <x:c r="U146" s="17">
        <x:f>IF($A146="","",IF($H146&lt;=0,0,IF($J146="",0,$J146*100000000+$H146*100+ROW()/1000)))</x:f>
      </x:c>
    </x:row>
    <x:row r="147">
      <x:c r="A147" s="12" t="n"/>
      <x:c r="B147" s="12" t="n"/>
      <x:c r="C147" s="12" t="n"/>
      <x:c r="D147" s="12" t="n"/>
      <x:c r="E147" s="12" t="n"/>
      <x:c r="F147" s="14" t="n"/>
      <x:c r="G147" s="14" t="n"/>
      <x:c r="H147" s="15">
        <x:f>IF(AND($F147="",$G147=""),"",MAX($F147-$G147,0))</x:f>
      </x:c>
      <x:c r="I147" s="13" t="n"/>
      <x:c r="J147" s="17">
        <x:f>IF($A147="","",IF(OR($I147="",$H147&lt;=0),"",MAX(TODAY()-$I147,0)))</x:f>
      </x:c>
      <x:c r="K147" s="17">
        <x:f>IF($A147="","",IF($H147&lt;=0,"已回清",IF($I147="","",IF($J147=0,"未到期",IF($J147&lt;=30,"1-30天",IF($J147&lt;=60,"31-60天",IF($J147&lt;=90,"61-90天","90天以上")))))))</x:f>
      </x:c>
      <x:c r="L147" s="14" t="n"/>
      <x:c r="M147" s="14" t="n"/>
      <x:c r="N147" s="16">
        <x:f>IF($A147="","",IF($F147="","",IF($F147=0,0,$G147/$F147)))</x:f>
      </x:c>
      <x:c r="O147" s="12" t="n"/>
      <x:c r="P147" s="16">
        <x:f>IF(OR($B147="",$H147=""),"",IFERROR($H147/VLOOKUP($B147,Customers!$A$2:$J$201,10,FALSE),""))</x:f>
      </x:c>
      <x:c r="Q147" s="17">
        <x:f>IF($A147="","",IF($H147&lt;=0,"已回清",IF($J147="","",IF($J147&gt;90,"坏账风险",IF($J147&gt;60,"高风险",IF($J147&gt;30,"中风险",IF($J147&gt;0,"预警","正常")))))))</x:f>
      </x:c>
      <x:c r="R147" s="17">
        <x:f>IF($A147="","",IF($Q147="","",IF($Q147="坏账风险","法务介入 / 准备诉讼",IF($Q147="高风险","上门沟通 / 部门经理介入",IF($Q147="中风险","电话催收 / 周度跟进",IF($Q147="预警","提醒客户按期回款","持续跟踪"))))))</x:f>
      </x:c>
      <x:c r="S147" s="13" t="n"/>
      <x:c r="T147" s="12" t="n"/>
      <x:c r="U147" s="17">
        <x:f>IF($A147="","",IF($H147&lt;=0,0,IF($J147="",0,$J147*100000000+$H147*100+ROW()/1000)))</x:f>
      </x:c>
    </x:row>
    <x:row r="148">
      <x:c r="A148" s="12" t="n"/>
      <x:c r="B148" s="12" t="n"/>
      <x:c r="C148" s="12" t="n"/>
      <x:c r="D148" s="12" t="n"/>
      <x:c r="E148" s="12" t="n"/>
      <x:c r="F148" s="14" t="n"/>
      <x:c r="G148" s="14" t="n"/>
      <x:c r="H148" s="15">
        <x:f>IF(AND($F148="",$G148=""),"",MAX($F148-$G148,0))</x:f>
      </x:c>
      <x:c r="I148" s="13" t="n"/>
      <x:c r="J148" s="17">
        <x:f>IF($A148="","",IF(OR($I148="",$H148&lt;=0),"",MAX(TODAY()-$I148,0)))</x:f>
      </x:c>
      <x:c r="K148" s="17">
        <x:f>IF($A148="","",IF($H148&lt;=0,"已回清",IF($I148="","",IF($J148=0,"未到期",IF($J148&lt;=30,"1-30天",IF($J148&lt;=60,"31-60天",IF($J148&lt;=90,"61-90天","90天以上")))))))</x:f>
      </x:c>
      <x:c r="L148" s="14" t="n"/>
      <x:c r="M148" s="14" t="n"/>
      <x:c r="N148" s="16">
        <x:f>IF($A148="","",IF($F148="","",IF($F148=0,0,$G148/$F148)))</x:f>
      </x:c>
      <x:c r="O148" s="12" t="n"/>
      <x:c r="P148" s="16">
        <x:f>IF(OR($B148="",$H148=""),"",IFERROR($H148/VLOOKUP($B148,Customers!$A$2:$J$201,10,FALSE),""))</x:f>
      </x:c>
      <x:c r="Q148" s="17">
        <x:f>IF($A148="","",IF($H148&lt;=0,"已回清",IF($J148="","",IF($J148&gt;90,"坏账风险",IF($J148&gt;60,"高风险",IF($J148&gt;30,"中风险",IF($J148&gt;0,"预警","正常")))))))</x:f>
      </x:c>
      <x:c r="R148" s="17">
        <x:f>IF($A148="","",IF($Q148="","",IF($Q148="坏账风险","法务介入 / 准备诉讼",IF($Q148="高风险","上门沟通 / 部门经理介入",IF($Q148="中风险","电话催收 / 周度跟进",IF($Q148="预警","提醒客户按期回款","持续跟踪"))))))</x:f>
      </x:c>
      <x:c r="S148" s="13" t="n"/>
      <x:c r="T148" s="12" t="n"/>
      <x:c r="U148" s="17">
        <x:f>IF($A148="","",IF($H148&lt;=0,0,IF($J148="",0,$J148*100000000+$H148*100+ROW()/1000)))</x:f>
      </x:c>
    </x:row>
    <x:row r="149">
      <x:c r="A149" s="12" t="n"/>
      <x:c r="B149" s="12" t="n"/>
      <x:c r="C149" s="12" t="n"/>
      <x:c r="D149" s="12" t="n"/>
      <x:c r="E149" s="12" t="n"/>
      <x:c r="F149" s="14" t="n"/>
      <x:c r="G149" s="14" t="n"/>
      <x:c r="H149" s="15">
        <x:f>IF(AND($F149="",$G149=""),"",MAX($F149-$G149,0))</x:f>
      </x:c>
      <x:c r="I149" s="13" t="n"/>
      <x:c r="J149" s="17">
        <x:f>IF($A149="","",IF(OR($I149="",$H149&lt;=0),"",MAX(TODAY()-$I149,0)))</x:f>
      </x:c>
      <x:c r="K149" s="17">
        <x:f>IF($A149="","",IF($H149&lt;=0,"已回清",IF($I149="","",IF($J149=0,"未到期",IF($J149&lt;=30,"1-30天",IF($J149&lt;=60,"31-60天",IF($J149&lt;=90,"61-90天","90天以上")))))))</x:f>
      </x:c>
      <x:c r="L149" s="14" t="n"/>
      <x:c r="M149" s="14" t="n"/>
      <x:c r="N149" s="16">
        <x:f>IF($A149="","",IF($F149="","",IF($F149=0,0,$G149/$F149)))</x:f>
      </x:c>
      <x:c r="O149" s="12" t="n"/>
      <x:c r="P149" s="16">
        <x:f>IF(OR($B149="",$H149=""),"",IFERROR($H149/VLOOKUP($B149,Customers!$A$2:$J$201,10,FALSE),""))</x:f>
      </x:c>
      <x:c r="Q149" s="17">
        <x:f>IF($A149="","",IF($H149&lt;=0,"已回清",IF($J149="","",IF($J149&gt;90,"坏账风险",IF($J149&gt;60,"高风险",IF($J149&gt;30,"中风险",IF($J149&gt;0,"预警","正常")))))))</x:f>
      </x:c>
      <x:c r="R149" s="17">
        <x:f>IF($A149="","",IF($Q149="","",IF($Q149="坏账风险","法务介入 / 准备诉讼",IF($Q149="高风险","上门沟通 / 部门经理介入",IF($Q149="中风险","电话催收 / 周度跟进",IF($Q149="预警","提醒客户按期回款","持续跟踪"))))))</x:f>
      </x:c>
      <x:c r="S149" s="13" t="n"/>
      <x:c r="T149" s="12" t="n"/>
      <x:c r="U149" s="17">
        <x:f>IF($A149="","",IF($H149&lt;=0,0,IF($J149="",0,$J149*100000000+$H149*100+ROW()/1000)))</x:f>
      </x:c>
    </x:row>
    <x:row r="150">
      <x:c r="A150" s="12" t="n"/>
      <x:c r="B150" s="12" t="n"/>
      <x:c r="C150" s="12" t="n"/>
      <x:c r="D150" s="12" t="n"/>
      <x:c r="E150" s="12" t="n"/>
      <x:c r="F150" s="14" t="n"/>
      <x:c r="G150" s="14" t="n"/>
      <x:c r="H150" s="15">
        <x:f>IF(AND($F150="",$G150=""),"",MAX($F150-$G150,0))</x:f>
      </x:c>
      <x:c r="I150" s="13" t="n"/>
      <x:c r="J150" s="17">
        <x:f>IF($A150="","",IF(OR($I150="",$H150&lt;=0),"",MAX(TODAY()-$I150,0)))</x:f>
      </x:c>
      <x:c r="K150" s="17">
        <x:f>IF($A150="","",IF($H150&lt;=0,"已回清",IF($I150="","",IF($J150=0,"未到期",IF($J150&lt;=30,"1-30天",IF($J150&lt;=60,"31-60天",IF($J150&lt;=90,"61-90天","90天以上")))))))</x:f>
      </x:c>
      <x:c r="L150" s="14" t="n"/>
      <x:c r="M150" s="14" t="n"/>
      <x:c r="N150" s="16">
        <x:f>IF($A150="","",IF($F150="","",IF($F150=0,0,$G150/$F150)))</x:f>
      </x:c>
      <x:c r="O150" s="12" t="n"/>
      <x:c r="P150" s="16">
        <x:f>IF(OR($B150="",$H150=""),"",IFERROR($H150/VLOOKUP($B150,Customers!$A$2:$J$201,10,FALSE),""))</x:f>
      </x:c>
      <x:c r="Q150" s="17">
        <x:f>IF($A150="","",IF($H150&lt;=0,"已回清",IF($J150="","",IF($J150&gt;90,"坏账风险",IF($J150&gt;60,"高风险",IF($J150&gt;30,"中风险",IF($J150&gt;0,"预警","正常")))))))</x:f>
      </x:c>
      <x:c r="R150" s="17">
        <x:f>IF($A150="","",IF($Q150="","",IF($Q150="坏账风险","法务介入 / 准备诉讼",IF($Q150="高风险","上门沟通 / 部门经理介入",IF($Q150="中风险","电话催收 / 周度跟进",IF($Q150="预警","提醒客户按期回款","持续跟踪"))))))</x:f>
      </x:c>
      <x:c r="S150" s="13" t="n"/>
      <x:c r="T150" s="12" t="n"/>
      <x:c r="U150" s="17">
        <x:f>IF($A150="","",IF($H150&lt;=0,0,IF($J150="",0,$J150*100000000+$H150*100+ROW()/1000)))</x:f>
      </x:c>
    </x:row>
    <x:row r="151">
      <x:c r="A151" s="12" t="n"/>
      <x:c r="B151" s="12" t="n"/>
      <x:c r="C151" s="12" t="n"/>
      <x:c r="D151" s="12" t="n"/>
      <x:c r="E151" s="12" t="n"/>
      <x:c r="F151" s="14" t="n"/>
      <x:c r="G151" s="14" t="n"/>
      <x:c r="H151" s="15">
        <x:f>IF(AND($F151="",$G151=""),"",MAX($F151-$G151,0))</x:f>
      </x:c>
      <x:c r="I151" s="13" t="n"/>
      <x:c r="J151" s="17">
        <x:f>IF($A151="","",IF(OR($I151="",$H151&lt;=0),"",MAX(TODAY()-$I151,0)))</x:f>
      </x:c>
      <x:c r="K151" s="17">
        <x:f>IF($A151="","",IF($H151&lt;=0,"已回清",IF($I151="","",IF($J151=0,"未到期",IF($J151&lt;=30,"1-30天",IF($J151&lt;=60,"31-60天",IF($J151&lt;=90,"61-90天","90天以上")))))))</x:f>
      </x:c>
      <x:c r="L151" s="14" t="n"/>
      <x:c r="M151" s="14" t="n"/>
      <x:c r="N151" s="16">
        <x:f>IF($A151="","",IF($F151="","",IF($F151=0,0,$G151/$F151)))</x:f>
      </x:c>
      <x:c r="O151" s="12" t="n"/>
      <x:c r="P151" s="16">
        <x:f>IF(OR($B151="",$H151=""),"",IFERROR($H151/VLOOKUP($B151,Customers!$A$2:$J$201,10,FALSE),""))</x:f>
      </x:c>
      <x:c r="Q151" s="17">
        <x:f>IF($A151="","",IF($H151&lt;=0,"已回清",IF($J151="","",IF($J151&gt;90,"坏账风险",IF($J151&gt;60,"高风险",IF($J151&gt;30,"中风险",IF($J151&gt;0,"预警","正常")))))))</x:f>
      </x:c>
      <x:c r="R151" s="17">
        <x:f>IF($A151="","",IF($Q151="","",IF($Q151="坏账风险","法务介入 / 准备诉讼",IF($Q151="高风险","上门沟通 / 部门经理介入",IF($Q151="中风险","电话催收 / 周度跟进",IF($Q151="预警","提醒客户按期回款","持续跟踪"))))))</x:f>
      </x:c>
      <x:c r="S151" s="13" t="n"/>
      <x:c r="T151" s="12" t="n"/>
      <x:c r="U151" s="17">
        <x:f>IF($A151="","",IF($H151&lt;=0,0,IF($J151="",0,$J151*100000000+$H151*100+ROW()/1000)))</x:f>
      </x:c>
    </x:row>
    <x:row r="152">
      <x:c r="A152" s="12" t="n"/>
      <x:c r="B152" s="12" t="n"/>
      <x:c r="C152" s="12" t="n"/>
      <x:c r="D152" s="12" t="n"/>
      <x:c r="E152" s="12" t="n"/>
      <x:c r="F152" s="14" t="n"/>
      <x:c r="G152" s="14" t="n"/>
      <x:c r="H152" s="15">
        <x:f>IF(AND($F152="",$G152=""),"",MAX($F152-$G152,0))</x:f>
      </x:c>
      <x:c r="I152" s="13" t="n"/>
      <x:c r="J152" s="17">
        <x:f>IF($A152="","",IF(OR($I152="",$H152&lt;=0),"",MAX(TODAY()-$I152,0)))</x:f>
      </x:c>
      <x:c r="K152" s="17">
        <x:f>IF($A152="","",IF($H152&lt;=0,"已回清",IF($I152="","",IF($J152=0,"未到期",IF($J152&lt;=30,"1-30天",IF($J152&lt;=60,"31-60天",IF($J152&lt;=90,"61-90天","90天以上")))))))</x:f>
      </x:c>
      <x:c r="L152" s="14" t="n"/>
      <x:c r="M152" s="14" t="n"/>
      <x:c r="N152" s="16">
        <x:f>IF($A152="","",IF($F152="","",IF($F152=0,0,$G152/$F152)))</x:f>
      </x:c>
      <x:c r="O152" s="12" t="n"/>
      <x:c r="P152" s="16">
        <x:f>IF(OR($B152="",$H152=""),"",IFERROR($H152/VLOOKUP($B152,Customers!$A$2:$J$201,10,FALSE),""))</x:f>
      </x:c>
      <x:c r="Q152" s="17">
        <x:f>IF($A152="","",IF($H152&lt;=0,"已回清",IF($J152="","",IF($J152&gt;90,"坏账风险",IF($J152&gt;60,"高风险",IF($J152&gt;30,"中风险",IF($J152&gt;0,"预警","正常")))))))</x:f>
      </x:c>
      <x:c r="R152" s="17">
        <x:f>IF($A152="","",IF($Q152="","",IF($Q152="坏账风险","法务介入 / 准备诉讼",IF($Q152="高风险","上门沟通 / 部门经理介入",IF($Q152="中风险","电话催收 / 周度跟进",IF($Q152="预警","提醒客户按期回款","持续跟踪"))))))</x:f>
      </x:c>
      <x:c r="S152" s="13" t="n"/>
      <x:c r="T152" s="12" t="n"/>
      <x:c r="U152" s="17">
        <x:f>IF($A152="","",IF($H152&lt;=0,0,IF($J152="",0,$J152*100000000+$H152*100+ROW()/1000)))</x:f>
      </x:c>
    </x:row>
    <x:row r="153">
      <x:c r="A153" s="12" t="n"/>
      <x:c r="B153" s="12" t="n"/>
      <x:c r="C153" s="12" t="n"/>
      <x:c r="D153" s="12" t="n"/>
      <x:c r="E153" s="12" t="n"/>
      <x:c r="F153" s="14" t="n"/>
      <x:c r="G153" s="14" t="n"/>
      <x:c r="H153" s="15">
        <x:f>IF(AND($F153="",$G153=""),"",MAX($F153-$G153,0))</x:f>
      </x:c>
      <x:c r="I153" s="13" t="n"/>
      <x:c r="J153" s="17">
        <x:f>IF($A153="","",IF(OR($I153="",$H153&lt;=0),"",MAX(TODAY()-$I153,0)))</x:f>
      </x:c>
      <x:c r="K153" s="17">
        <x:f>IF($A153="","",IF($H153&lt;=0,"已回清",IF($I153="","",IF($J153=0,"未到期",IF($J153&lt;=30,"1-30天",IF($J153&lt;=60,"31-60天",IF($J153&lt;=90,"61-90天","90天以上")))))))</x:f>
      </x:c>
      <x:c r="L153" s="14" t="n"/>
      <x:c r="M153" s="14" t="n"/>
      <x:c r="N153" s="16">
        <x:f>IF($A153="","",IF($F153="","",IF($F153=0,0,$G153/$F153)))</x:f>
      </x:c>
      <x:c r="O153" s="12" t="n"/>
      <x:c r="P153" s="16">
        <x:f>IF(OR($B153="",$H153=""),"",IFERROR($H153/VLOOKUP($B153,Customers!$A$2:$J$201,10,FALSE),""))</x:f>
      </x:c>
      <x:c r="Q153" s="17">
        <x:f>IF($A153="","",IF($H153&lt;=0,"已回清",IF($J153="","",IF($J153&gt;90,"坏账风险",IF($J153&gt;60,"高风险",IF($J153&gt;30,"中风险",IF($J153&gt;0,"预警","正常")))))))</x:f>
      </x:c>
      <x:c r="R153" s="17">
        <x:f>IF($A153="","",IF($Q153="","",IF($Q153="坏账风险","法务介入 / 准备诉讼",IF($Q153="高风险","上门沟通 / 部门经理介入",IF($Q153="中风险","电话催收 / 周度跟进",IF($Q153="预警","提醒客户按期回款","持续跟踪"))))))</x:f>
      </x:c>
      <x:c r="S153" s="13" t="n"/>
      <x:c r="T153" s="12" t="n"/>
      <x:c r="U153" s="17">
        <x:f>IF($A153="","",IF($H153&lt;=0,0,IF($J153="",0,$J153*100000000+$H153*100+ROW()/1000)))</x:f>
      </x:c>
    </x:row>
    <x:row r="154">
      <x:c r="A154" s="12" t="n"/>
      <x:c r="B154" s="12" t="n"/>
      <x:c r="C154" s="12" t="n"/>
      <x:c r="D154" s="12" t="n"/>
      <x:c r="E154" s="12" t="n"/>
      <x:c r="F154" s="14" t="n"/>
      <x:c r="G154" s="14" t="n"/>
      <x:c r="H154" s="15">
        <x:f>IF(AND($F154="",$G154=""),"",MAX($F154-$G154,0))</x:f>
      </x:c>
      <x:c r="I154" s="13" t="n"/>
      <x:c r="J154" s="17">
        <x:f>IF($A154="","",IF(OR($I154="",$H154&lt;=0),"",MAX(TODAY()-$I154,0)))</x:f>
      </x:c>
      <x:c r="K154" s="17">
        <x:f>IF($A154="","",IF($H154&lt;=0,"已回清",IF($I154="","",IF($J154=0,"未到期",IF($J154&lt;=30,"1-30天",IF($J154&lt;=60,"31-60天",IF($J154&lt;=90,"61-90天","90天以上")))))))</x:f>
      </x:c>
      <x:c r="L154" s="14" t="n"/>
      <x:c r="M154" s="14" t="n"/>
      <x:c r="N154" s="16">
        <x:f>IF($A154="","",IF($F154="","",IF($F154=0,0,$G154/$F154)))</x:f>
      </x:c>
      <x:c r="O154" s="12" t="n"/>
      <x:c r="P154" s="16">
        <x:f>IF(OR($B154="",$H154=""),"",IFERROR($H154/VLOOKUP($B154,Customers!$A$2:$J$201,10,FALSE),""))</x:f>
      </x:c>
      <x:c r="Q154" s="17">
        <x:f>IF($A154="","",IF($H154&lt;=0,"已回清",IF($J154="","",IF($J154&gt;90,"坏账风险",IF($J154&gt;60,"高风险",IF($J154&gt;30,"中风险",IF($J154&gt;0,"预警","正常")))))))</x:f>
      </x:c>
      <x:c r="R154" s="17">
        <x:f>IF($A154="","",IF($Q154="","",IF($Q154="坏账风险","法务介入 / 准备诉讼",IF($Q154="高风险","上门沟通 / 部门经理介入",IF($Q154="中风险","电话催收 / 周度跟进",IF($Q154="预警","提醒客户按期回款","持续跟踪"))))))</x:f>
      </x:c>
      <x:c r="S154" s="13" t="n"/>
      <x:c r="T154" s="12" t="n"/>
      <x:c r="U154" s="17">
        <x:f>IF($A154="","",IF($H154&lt;=0,0,IF($J154="",0,$J154*100000000+$H154*100+ROW()/1000)))</x:f>
      </x:c>
    </x:row>
    <x:row r="155">
      <x:c r="A155" s="12" t="n"/>
      <x:c r="B155" s="12" t="n"/>
      <x:c r="C155" s="12" t="n"/>
      <x:c r="D155" s="12" t="n"/>
      <x:c r="E155" s="12" t="n"/>
      <x:c r="F155" s="14" t="n"/>
      <x:c r="G155" s="14" t="n"/>
      <x:c r="H155" s="15">
        <x:f>IF(AND($F155="",$G155=""),"",MAX($F155-$G155,0))</x:f>
      </x:c>
      <x:c r="I155" s="13" t="n"/>
      <x:c r="J155" s="17">
        <x:f>IF($A155="","",IF(OR($I155="",$H155&lt;=0),"",MAX(TODAY()-$I155,0)))</x:f>
      </x:c>
      <x:c r="K155" s="17">
        <x:f>IF($A155="","",IF($H155&lt;=0,"已回清",IF($I155="","",IF($J155=0,"未到期",IF($J155&lt;=30,"1-30天",IF($J155&lt;=60,"31-60天",IF($J155&lt;=90,"61-90天","90天以上")))))))</x:f>
      </x:c>
      <x:c r="L155" s="14" t="n"/>
      <x:c r="M155" s="14" t="n"/>
      <x:c r="N155" s="16">
        <x:f>IF($A155="","",IF($F155="","",IF($F155=0,0,$G155/$F155)))</x:f>
      </x:c>
      <x:c r="O155" s="12" t="n"/>
      <x:c r="P155" s="16">
        <x:f>IF(OR($B155="",$H155=""),"",IFERROR($H155/VLOOKUP($B155,Customers!$A$2:$J$201,10,FALSE),""))</x:f>
      </x:c>
      <x:c r="Q155" s="17">
        <x:f>IF($A155="","",IF($H155&lt;=0,"已回清",IF($J155="","",IF($J155&gt;90,"坏账风险",IF($J155&gt;60,"高风险",IF($J155&gt;30,"中风险",IF($J155&gt;0,"预警","正常")))))))</x:f>
      </x:c>
      <x:c r="R155" s="17">
        <x:f>IF($A155="","",IF($Q155="","",IF($Q155="坏账风险","法务介入 / 准备诉讼",IF($Q155="高风险","上门沟通 / 部门经理介入",IF($Q155="中风险","电话催收 / 周度跟进",IF($Q155="预警","提醒客户按期回款","持续跟踪"))))))</x:f>
      </x:c>
      <x:c r="S155" s="13" t="n"/>
      <x:c r="T155" s="12" t="n"/>
      <x:c r="U155" s="17">
        <x:f>IF($A155="","",IF($H155&lt;=0,0,IF($J155="",0,$J155*100000000+$H155*100+ROW()/1000)))</x:f>
      </x:c>
    </x:row>
    <x:row r="156">
      <x:c r="A156" s="12" t="n"/>
      <x:c r="B156" s="12" t="n"/>
      <x:c r="C156" s="12" t="n"/>
      <x:c r="D156" s="12" t="n"/>
      <x:c r="E156" s="12" t="n"/>
      <x:c r="F156" s="14" t="n"/>
      <x:c r="G156" s="14" t="n"/>
      <x:c r="H156" s="15">
        <x:f>IF(AND($F156="",$G156=""),"",MAX($F156-$G156,0))</x:f>
      </x:c>
      <x:c r="I156" s="13" t="n"/>
      <x:c r="J156" s="17">
        <x:f>IF($A156="","",IF(OR($I156="",$H156&lt;=0),"",MAX(TODAY()-$I156,0)))</x:f>
      </x:c>
      <x:c r="K156" s="17">
        <x:f>IF($A156="","",IF($H156&lt;=0,"已回清",IF($I156="","",IF($J156=0,"未到期",IF($J156&lt;=30,"1-30天",IF($J156&lt;=60,"31-60天",IF($J156&lt;=90,"61-90天","90天以上")))))))</x:f>
      </x:c>
      <x:c r="L156" s="14" t="n"/>
      <x:c r="M156" s="14" t="n"/>
      <x:c r="N156" s="16">
        <x:f>IF($A156="","",IF($F156="","",IF($F156=0,0,$G156/$F156)))</x:f>
      </x:c>
      <x:c r="O156" s="12" t="n"/>
      <x:c r="P156" s="16">
        <x:f>IF(OR($B156="",$H156=""),"",IFERROR($H156/VLOOKUP($B156,Customers!$A$2:$J$201,10,FALSE),""))</x:f>
      </x:c>
      <x:c r="Q156" s="17">
        <x:f>IF($A156="","",IF($H156&lt;=0,"已回清",IF($J156="","",IF($J156&gt;90,"坏账风险",IF($J156&gt;60,"高风险",IF($J156&gt;30,"中风险",IF($J156&gt;0,"预警","正常")))))))</x:f>
      </x:c>
      <x:c r="R156" s="17">
        <x:f>IF($A156="","",IF($Q156="","",IF($Q156="坏账风险","法务介入 / 准备诉讼",IF($Q156="高风险","上门沟通 / 部门经理介入",IF($Q156="中风险","电话催收 / 周度跟进",IF($Q156="预警","提醒客户按期回款","持续跟踪"))))))</x:f>
      </x:c>
      <x:c r="S156" s="13" t="n"/>
      <x:c r="T156" s="12" t="n"/>
      <x:c r="U156" s="17">
        <x:f>IF($A156="","",IF($H156&lt;=0,0,IF($J156="",0,$J156*100000000+$H156*100+ROW()/1000)))</x:f>
      </x:c>
    </x:row>
    <x:row r="157">
      <x:c r="A157" s="12" t="n"/>
      <x:c r="B157" s="12" t="n"/>
      <x:c r="C157" s="12" t="n"/>
      <x:c r="D157" s="12" t="n"/>
      <x:c r="E157" s="12" t="n"/>
      <x:c r="F157" s="14" t="n"/>
      <x:c r="G157" s="14" t="n"/>
      <x:c r="H157" s="15">
        <x:f>IF(AND($F157="",$G157=""),"",MAX($F157-$G157,0))</x:f>
      </x:c>
      <x:c r="I157" s="13" t="n"/>
      <x:c r="J157" s="17">
        <x:f>IF($A157="","",IF(OR($I157="",$H157&lt;=0),"",MAX(TODAY()-$I157,0)))</x:f>
      </x:c>
      <x:c r="K157" s="17">
        <x:f>IF($A157="","",IF($H157&lt;=0,"已回清",IF($I157="","",IF($J157=0,"未到期",IF($J157&lt;=30,"1-30天",IF($J157&lt;=60,"31-60天",IF($J157&lt;=90,"61-90天","90天以上")))))))</x:f>
      </x:c>
      <x:c r="L157" s="14" t="n"/>
      <x:c r="M157" s="14" t="n"/>
      <x:c r="N157" s="16">
        <x:f>IF($A157="","",IF($F157="","",IF($F157=0,0,$G157/$F157)))</x:f>
      </x:c>
      <x:c r="O157" s="12" t="n"/>
      <x:c r="P157" s="16">
        <x:f>IF(OR($B157="",$H157=""),"",IFERROR($H157/VLOOKUP($B157,Customers!$A$2:$J$201,10,FALSE),""))</x:f>
      </x:c>
      <x:c r="Q157" s="17">
        <x:f>IF($A157="","",IF($H157&lt;=0,"已回清",IF($J157="","",IF($J157&gt;90,"坏账风险",IF($J157&gt;60,"高风险",IF($J157&gt;30,"中风险",IF($J157&gt;0,"预警","正常")))))))</x:f>
      </x:c>
      <x:c r="R157" s="17">
        <x:f>IF($A157="","",IF($Q157="","",IF($Q157="坏账风险","法务介入 / 准备诉讼",IF($Q157="高风险","上门沟通 / 部门经理介入",IF($Q157="中风险","电话催收 / 周度跟进",IF($Q157="预警","提醒客户按期回款","持续跟踪"))))))</x:f>
      </x:c>
      <x:c r="S157" s="13" t="n"/>
      <x:c r="T157" s="12" t="n"/>
      <x:c r="U157" s="17">
        <x:f>IF($A157="","",IF($H157&lt;=0,0,IF($J157="",0,$J157*100000000+$H157*100+ROW()/1000)))</x:f>
      </x:c>
    </x:row>
    <x:row r="158">
      <x:c r="A158" s="12" t="n"/>
      <x:c r="B158" s="12" t="n"/>
      <x:c r="C158" s="12" t="n"/>
      <x:c r="D158" s="12" t="n"/>
      <x:c r="E158" s="12" t="n"/>
      <x:c r="F158" s="14" t="n"/>
      <x:c r="G158" s="14" t="n"/>
      <x:c r="H158" s="15">
        <x:f>IF(AND($F158="",$G158=""),"",MAX($F158-$G158,0))</x:f>
      </x:c>
      <x:c r="I158" s="13" t="n"/>
      <x:c r="J158" s="17">
        <x:f>IF($A158="","",IF(OR($I158="",$H158&lt;=0),"",MAX(TODAY()-$I158,0)))</x:f>
      </x:c>
      <x:c r="K158" s="17">
        <x:f>IF($A158="","",IF($H158&lt;=0,"已回清",IF($I158="","",IF($J158=0,"未到期",IF($J158&lt;=30,"1-30天",IF($J158&lt;=60,"31-60天",IF($J158&lt;=90,"61-90天","90天以上")))))))</x:f>
      </x:c>
      <x:c r="L158" s="14" t="n"/>
      <x:c r="M158" s="14" t="n"/>
      <x:c r="N158" s="16">
        <x:f>IF($A158="","",IF($F158="","",IF($F158=0,0,$G158/$F158)))</x:f>
      </x:c>
      <x:c r="O158" s="12" t="n"/>
      <x:c r="P158" s="16">
        <x:f>IF(OR($B158="",$H158=""),"",IFERROR($H158/VLOOKUP($B158,Customers!$A$2:$J$201,10,FALSE),""))</x:f>
      </x:c>
      <x:c r="Q158" s="17">
        <x:f>IF($A158="","",IF($H158&lt;=0,"已回清",IF($J158="","",IF($J158&gt;90,"坏账风险",IF($J158&gt;60,"高风险",IF($J158&gt;30,"中风险",IF($J158&gt;0,"预警","正常")))))))</x:f>
      </x:c>
      <x:c r="R158" s="17">
        <x:f>IF($A158="","",IF($Q158="","",IF($Q158="坏账风险","法务介入 / 准备诉讼",IF($Q158="高风险","上门沟通 / 部门经理介入",IF($Q158="中风险","电话催收 / 周度跟进",IF($Q158="预警","提醒客户按期回款","持续跟踪"))))))</x:f>
      </x:c>
      <x:c r="S158" s="13" t="n"/>
      <x:c r="T158" s="12" t="n"/>
      <x:c r="U158" s="17">
        <x:f>IF($A158="","",IF($H158&lt;=0,0,IF($J158="",0,$J158*100000000+$H158*100+ROW()/1000)))</x:f>
      </x:c>
    </x:row>
    <x:row r="159">
      <x:c r="A159" s="12" t="n"/>
      <x:c r="B159" s="12" t="n"/>
      <x:c r="C159" s="12" t="n"/>
      <x:c r="D159" s="12" t="n"/>
      <x:c r="E159" s="12" t="n"/>
      <x:c r="F159" s="14" t="n"/>
      <x:c r="G159" s="14" t="n"/>
      <x:c r="H159" s="15">
        <x:f>IF(AND($F159="",$G159=""),"",MAX($F159-$G159,0))</x:f>
      </x:c>
      <x:c r="I159" s="13" t="n"/>
      <x:c r="J159" s="17">
        <x:f>IF($A159="","",IF(OR($I159="",$H159&lt;=0),"",MAX(TODAY()-$I159,0)))</x:f>
      </x:c>
      <x:c r="K159" s="17">
        <x:f>IF($A159="","",IF($H159&lt;=0,"已回清",IF($I159="","",IF($J159=0,"未到期",IF($J159&lt;=30,"1-30天",IF($J159&lt;=60,"31-60天",IF($J159&lt;=90,"61-90天","90天以上")))))))</x:f>
      </x:c>
      <x:c r="L159" s="14" t="n"/>
      <x:c r="M159" s="14" t="n"/>
      <x:c r="N159" s="16">
        <x:f>IF($A159="","",IF($F159="","",IF($F159=0,0,$G159/$F159)))</x:f>
      </x:c>
      <x:c r="O159" s="12" t="n"/>
      <x:c r="P159" s="16">
        <x:f>IF(OR($B159="",$H159=""),"",IFERROR($H159/VLOOKUP($B159,Customers!$A$2:$J$201,10,FALSE),""))</x:f>
      </x:c>
      <x:c r="Q159" s="17">
        <x:f>IF($A159="","",IF($H159&lt;=0,"已回清",IF($J159="","",IF($J159&gt;90,"坏账风险",IF($J159&gt;60,"高风险",IF($J159&gt;30,"中风险",IF($J159&gt;0,"预警","正常")))))))</x:f>
      </x:c>
      <x:c r="R159" s="17">
        <x:f>IF($A159="","",IF($Q159="","",IF($Q159="坏账风险","法务介入 / 准备诉讼",IF($Q159="高风险","上门沟通 / 部门经理介入",IF($Q159="中风险","电话催收 / 周度跟进",IF($Q159="预警","提醒客户按期回款","持续跟踪"))))))</x:f>
      </x:c>
      <x:c r="S159" s="13" t="n"/>
      <x:c r="T159" s="12" t="n"/>
      <x:c r="U159" s="17">
        <x:f>IF($A159="","",IF($H159&lt;=0,0,IF($J159="",0,$J159*100000000+$H159*100+ROW()/1000)))</x:f>
      </x:c>
    </x:row>
    <x:row r="160">
      <x:c r="A160" s="12" t="n"/>
      <x:c r="B160" s="12" t="n"/>
      <x:c r="C160" s="12" t="n"/>
      <x:c r="D160" s="12" t="n"/>
      <x:c r="E160" s="12" t="n"/>
      <x:c r="F160" s="14" t="n"/>
      <x:c r="G160" s="14" t="n"/>
      <x:c r="H160" s="15">
        <x:f>IF(AND($F160="",$G160=""),"",MAX($F160-$G160,0))</x:f>
      </x:c>
      <x:c r="I160" s="13" t="n"/>
      <x:c r="J160" s="17">
        <x:f>IF($A160="","",IF(OR($I160="",$H160&lt;=0),"",MAX(TODAY()-$I160,0)))</x:f>
      </x:c>
      <x:c r="K160" s="17">
        <x:f>IF($A160="","",IF($H160&lt;=0,"已回清",IF($I160="","",IF($J160=0,"未到期",IF($J160&lt;=30,"1-30天",IF($J160&lt;=60,"31-60天",IF($J160&lt;=90,"61-90天","90天以上")))))))</x:f>
      </x:c>
      <x:c r="L160" s="14" t="n"/>
      <x:c r="M160" s="14" t="n"/>
      <x:c r="N160" s="16">
        <x:f>IF($A160="","",IF($F160="","",IF($F160=0,0,$G160/$F160)))</x:f>
      </x:c>
      <x:c r="O160" s="12" t="n"/>
      <x:c r="P160" s="16">
        <x:f>IF(OR($B160="",$H160=""),"",IFERROR($H160/VLOOKUP($B160,Customers!$A$2:$J$201,10,FALSE),""))</x:f>
      </x:c>
      <x:c r="Q160" s="17">
        <x:f>IF($A160="","",IF($H160&lt;=0,"已回清",IF($J160="","",IF($J160&gt;90,"坏账风险",IF($J160&gt;60,"高风险",IF($J160&gt;30,"中风险",IF($J160&gt;0,"预警","正常")))))))</x:f>
      </x:c>
      <x:c r="R160" s="17">
        <x:f>IF($A160="","",IF($Q160="","",IF($Q160="坏账风险","法务介入 / 准备诉讼",IF($Q160="高风险","上门沟通 / 部门经理介入",IF($Q160="中风险","电话催收 / 周度跟进",IF($Q160="预警","提醒客户按期回款","持续跟踪"))))))</x:f>
      </x:c>
      <x:c r="S160" s="13" t="n"/>
      <x:c r="T160" s="12" t="n"/>
      <x:c r="U160" s="17">
        <x:f>IF($A160="","",IF($H160&lt;=0,0,IF($J160="",0,$J160*100000000+$H160*100+ROW()/1000)))</x:f>
      </x:c>
    </x:row>
    <x:row r="161">
      <x:c r="A161" s="12" t="n"/>
      <x:c r="B161" s="12" t="n"/>
      <x:c r="C161" s="12" t="n"/>
      <x:c r="D161" s="12" t="n"/>
      <x:c r="E161" s="12" t="n"/>
      <x:c r="F161" s="14" t="n"/>
      <x:c r="G161" s="14" t="n"/>
      <x:c r="H161" s="15">
        <x:f>IF(AND($F161="",$G161=""),"",MAX($F161-$G161,0))</x:f>
      </x:c>
      <x:c r="I161" s="13" t="n"/>
      <x:c r="J161" s="17">
        <x:f>IF($A161="","",IF(OR($I161="",$H161&lt;=0),"",MAX(TODAY()-$I161,0)))</x:f>
      </x:c>
      <x:c r="K161" s="17">
        <x:f>IF($A161="","",IF($H161&lt;=0,"已回清",IF($I161="","",IF($J161=0,"未到期",IF($J161&lt;=30,"1-30天",IF($J161&lt;=60,"31-60天",IF($J161&lt;=90,"61-90天","90天以上")))))))</x:f>
      </x:c>
      <x:c r="L161" s="14" t="n"/>
      <x:c r="M161" s="14" t="n"/>
      <x:c r="N161" s="16">
        <x:f>IF($A161="","",IF($F161="","",IF($F161=0,0,$G161/$F161)))</x:f>
      </x:c>
      <x:c r="O161" s="12" t="n"/>
      <x:c r="P161" s="16">
        <x:f>IF(OR($B161="",$H161=""),"",IFERROR($H161/VLOOKUP($B161,Customers!$A$2:$J$201,10,FALSE),""))</x:f>
      </x:c>
      <x:c r="Q161" s="17">
        <x:f>IF($A161="","",IF($H161&lt;=0,"已回清",IF($J161="","",IF($J161&gt;90,"坏账风险",IF($J161&gt;60,"高风险",IF($J161&gt;30,"中风险",IF($J161&gt;0,"预警","正常")))))))</x:f>
      </x:c>
      <x:c r="R161" s="17">
        <x:f>IF($A161="","",IF($Q161="","",IF($Q161="坏账风险","法务介入 / 准备诉讼",IF($Q161="高风险","上门沟通 / 部门经理介入",IF($Q161="中风险","电话催收 / 周度跟进",IF($Q161="预警","提醒客户按期回款","持续跟踪"))))))</x:f>
      </x:c>
      <x:c r="S161" s="13" t="n"/>
      <x:c r="T161" s="12" t="n"/>
      <x:c r="U161" s="17">
        <x:f>IF($A161="","",IF($H161&lt;=0,0,IF($J161="",0,$J161*100000000+$H161*100+ROW()/1000)))</x:f>
      </x:c>
    </x:row>
    <x:row r="162">
      <x:c r="A162" s="12" t="n"/>
      <x:c r="B162" s="12" t="n"/>
      <x:c r="C162" s="12" t="n"/>
      <x:c r="D162" s="12" t="n"/>
      <x:c r="E162" s="12" t="n"/>
      <x:c r="F162" s="14" t="n"/>
      <x:c r="G162" s="14" t="n"/>
      <x:c r="H162" s="15">
        <x:f>IF(AND($F162="",$G162=""),"",MAX($F162-$G162,0))</x:f>
      </x:c>
      <x:c r="I162" s="13" t="n"/>
      <x:c r="J162" s="17">
        <x:f>IF($A162="","",IF(OR($I162="",$H162&lt;=0),"",MAX(TODAY()-$I162,0)))</x:f>
      </x:c>
      <x:c r="K162" s="17">
        <x:f>IF($A162="","",IF($H162&lt;=0,"已回清",IF($I162="","",IF($J162=0,"未到期",IF($J162&lt;=30,"1-30天",IF($J162&lt;=60,"31-60天",IF($J162&lt;=90,"61-90天","90天以上")))))))</x:f>
      </x:c>
      <x:c r="L162" s="14" t="n"/>
      <x:c r="M162" s="14" t="n"/>
      <x:c r="N162" s="16">
        <x:f>IF($A162="","",IF($F162="","",IF($F162=0,0,$G162/$F162)))</x:f>
      </x:c>
      <x:c r="O162" s="12" t="n"/>
      <x:c r="P162" s="16">
        <x:f>IF(OR($B162="",$H162=""),"",IFERROR($H162/VLOOKUP($B162,Customers!$A$2:$J$201,10,FALSE),""))</x:f>
      </x:c>
      <x:c r="Q162" s="17">
        <x:f>IF($A162="","",IF($H162&lt;=0,"已回清",IF($J162="","",IF($J162&gt;90,"坏账风险",IF($J162&gt;60,"高风险",IF($J162&gt;30,"中风险",IF($J162&gt;0,"预警","正常")))))))</x:f>
      </x:c>
      <x:c r="R162" s="17">
        <x:f>IF($A162="","",IF($Q162="","",IF($Q162="坏账风险","法务介入 / 准备诉讼",IF($Q162="高风险","上门沟通 / 部门经理介入",IF($Q162="中风险","电话催收 / 周度跟进",IF($Q162="预警","提醒客户按期回款","持续跟踪"))))))</x:f>
      </x:c>
      <x:c r="S162" s="13" t="n"/>
      <x:c r="T162" s="12" t="n"/>
      <x:c r="U162" s="17">
        <x:f>IF($A162="","",IF($H162&lt;=0,0,IF($J162="",0,$J162*100000000+$H162*100+ROW()/1000)))</x:f>
      </x:c>
    </x:row>
    <x:row r="163">
      <x:c r="A163" s="12" t="n"/>
      <x:c r="B163" s="12" t="n"/>
      <x:c r="C163" s="12" t="n"/>
      <x:c r="D163" s="12" t="n"/>
      <x:c r="E163" s="12" t="n"/>
      <x:c r="F163" s="14" t="n"/>
      <x:c r="G163" s="14" t="n"/>
      <x:c r="H163" s="15">
        <x:f>IF(AND($F163="",$G163=""),"",MAX($F163-$G163,0))</x:f>
      </x:c>
      <x:c r="I163" s="13" t="n"/>
      <x:c r="J163" s="17">
        <x:f>IF($A163="","",IF(OR($I163="",$H163&lt;=0),"",MAX(TODAY()-$I163,0)))</x:f>
      </x:c>
      <x:c r="K163" s="17">
        <x:f>IF($A163="","",IF($H163&lt;=0,"已回清",IF($I163="","",IF($J163=0,"未到期",IF($J163&lt;=30,"1-30天",IF($J163&lt;=60,"31-60天",IF($J163&lt;=90,"61-90天","90天以上")))))))</x:f>
      </x:c>
      <x:c r="L163" s="14" t="n"/>
      <x:c r="M163" s="14" t="n"/>
      <x:c r="N163" s="16">
        <x:f>IF($A163="","",IF($F163="","",IF($F163=0,0,$G163/$F163)))</x:f>
      </x:c>
      <x:c r="O163" s="12" t="n"/>
      <x:c r="P163" s="16">
        <x:f>IF(OR($B163="",$H163=""),"",IFERROR($H163/VLOOKUP($B163,Customers!$A$2:$J$201,10,FALSE),""))</x:f>
      </x:c>
      <x:c r="Q163" s="17">
        <x:f>IF($A163="","",IF($H163&lt;=0,"已回清",IF($J163="","",IF($J163&gt;90,"坏账风险",IF($J163&gt;60,"高风险",IF($J163&gt;30,"中风险",IF($J163&gt;0,"预警","正常")))))))</x:f>
      </x:c>
      <x:c r="R163" s="17">
        <x:f>IF($A163="","",IF($Q163="","",IF($Q163="坏账风险","法务介入 / 准备诉讼",IF($Q163="高风险","上门沟通 / 部门经理介入",IF($Q163="中风险","电话催收 / 周度跟进",IF($Q163="预警","提醒客户按期回款","持续跟踪"))))))</x:f>
      </x:c>
      <x:c r="S163" s="13" t="n"/>
      <x:c r="T163" s="12" t="n"/>
      <x:c r="U163" s="17">
        <x:f>IF($A163="","",IF($H163&lt;=0,0,IF($J163="",0,$J163*100000000+$H163*100+ROW()/1000)))</x:f>
      </x:c>
    </x:row>
    <x:row r="164">
      <x:c r="A164" s="12" t="n"/>
      <x:c r="B164" s="12" t="n"/>
      <x:c r="C164" s="12" t="n"/>
      <x:c r="D164" s="12" t="n"/>
      <x:c r="E164" s="12" t="n"/>
      <x:c r="F164" s="14" t="n"/>
      <x:c r="G164" s="14" t="n"/>
      <x:c r="H164" s="15">
        <x:f>IF(AND($F164="",$G164=""),"",MAX($F164-$G164,0))</x:f>
      </x:c>
      <x:c r="I164" s="13" t="n"/>
      <x:c r="J164" s="17">
        <x:f>IF($A164="","",IF(OR($I164="",$H164&lt;=0),"",MAX(TODAY()-$I164,0)))</x:f>
      </x:c>
      <x:c r="K164" s="17">
        <x:f>IF($A164="","",IF($H164&lt;=0,"已回清",IF($I164="","",IF($J164=0,"未到期",IF($J164&lt;=30,"1-30天",IF($J164&lt;=60,"31-60天",IF($J164&lt;=90,"61-90天","90天以上")))))))</x:f>
      </x:c>
      <x:c r="L164" s="14" t="n"/>
      <x:c r="M164" s="14" t="n"/>
      <x:c r="N164" s="16">
        <x:f>IF($A164="","",IF($F164="","",IF($F164=0,0,$G164/$F164)))</x:f>
      </x:c>
      <x:c r="O164" s="12" t="n"/>
      <x:c r="P164" s="16">
        <x:f>IF(OR($B164="",$H164=""),"",IFERROR($H164/VLOOKUP($B164,Customers!$A$2:$J$201,10,FALSE),""))</x:f>
      </x:c>
      <x:c r="Q164" s="17">
        <x:f>IF($A164="","",IF($H164&lt;=0,"已回清",IF($J164="","",IF($J164&gt;90,"坏账风险",IF($J164&gt;60,"高风险",IF($J164&gt;30,"中风险",IF($J164&gt;0,"预警","正常")))))))</x:f>
      </x:c>
      <x:c r="R164" s="17">
        <x:f>IF($A164="","",IF($Q164="","",IF($Q164="坏账风险","法务介入 / 准备诉讼",IF($Q164="高风险","上门沟通 / 部门经理介入",IF($Q164="中风险","电话催收 / 周度跟进",IF($Q164="预警","提醒客户按期回款","持续跟踪"))))))</x:f>
      </x:c>
      <x:c r="S164" s="13" t="n"/>
      <x:c r="T164" s="12" t="n"/>
      <x:c r="U164" s="17">
        <x:f>IF($A164="","",IF($H164&lt;=0,0,IF($J164="",0,$J164*100000000+$H164*100+ROW()/1000)))</x:f>
      </x:c>
    </x:row>
    <x:row r="165">
      <x:c r="A165" s="12" t="n"/>
      <x:c r="B165" s="12" t="n"/>
      <x:c r="C165" s="12" t="n"/>
      <x:c r="D165" s="12" t="n"/>
      <x:c r="E165" s="12" t="n"/>
      <x:c r="F165" s="14" t="n"/>
      <x:c r="G165" s="14" t="n"/>
      <x:c r="H165" s="15">
        <x:f>IF(AND($F165="",$G165=""),"",MAX($F165-$G165,0))</x:f>
      </x:c>
      <x:c r="I165" s="13" t="n"/>
      <x:c r="J165" s="17">
        <x:f>IF($A165="","",IF(OR($I165="",$H165&lt;=0),"",MAX(TODAY()-$I165,0)))</x:f>
      </x:c>
      <x:c r="K165" s="17">
        <x:f>IF($A165="","",IF($H165&lt;=0,"已回清",IF($I165="","",IF($J165=0,"未到期",IF($J165&lt;=30,"1-30天",IF($J165&lt;=60,"31-60天",IF($J165&lt;=90,"61-90天","90天以上")))))))</x:f>
      </x:c>
      <x:c r="L165" s="14" t="n"/>
      <x:c r="M165" s="14" t="n"/>
      <x:c r="N165" s="16">
        <x:f>IF($A165="","",IF($F165="","",IF($F165=0,0,$G165/$F165)))</x:f>
      </x:c>
      <x:c r="O165" s="12" t="n"/>
      <x:c r="P165" s="16">
        <x:f>IF(OR($B165="",$H165=""),"",IFERROR($H165/VLOOKUP($B165,Customers!$A$2:$J$201,10,FALSE),""))</x:f>
      </x:c>
      <x:c r="Q165" s="17">
        <x:f>IF($A165="","",IF($H165&lt;=0,"已回清",IF($J165="","",IF($J165&gt;90,"坏账风险",IF($J165&gt;60,"高风险",IF($J165&gt;30,"中风险",IF($J165&gt;0,"预警","正常")))))))</x:f>
      </x:c>
      <x:c r="R165" s="17">
        <x:f>IF($A165="","",IF($Q165="","",IF($Q165="坏账风险","法务介入 / 准备诉讼",IF($Q165="高风险","上门沟通 / 部门经理介入",IF($Q165="中风险","电话催收 / 周度跟进",IF($Q165="预警","提醒客户按期回款","持续跟踪"))))))</x:f>
      </x:c>
      <x:c r="S165" s="13" t="n"/>
      <x:c r="T165" s="12" t="n"/>
      <x:c r="U165" s="17">
        <x:f>IF($A165="","",IF($H165&lt;=0,0,IF($J165="",0,$J165*100000000+$H165*100+ROW()/1000)))</x:f>
      </x:c>
    </x:row>
    <x:row r="166">
      <x:c r="A166" s="12" t="n"/>
      <x:c r="B166" s="12" t="n"/>
      <x:c r="C166" s="12" t="n"/>
      <x:c r="D166" s="12" t="n"/>
      <x:c r="E166" s="12" t="n"/>
      <x:c r="F166" s="14" t="n"/>
      <x:c r="G166" s="14" t="n"/>
      <x:c r="H166" s="15">
        <x:f>IF(AND($F166="",$G166=""),"",MAX($F166-$G166,0))</x:f>
      </x:c>
      <x:c r="I166" s="13" t="n"/>
      <x:c r="J166" s="17">
        <x:f>IF($A166="","",IF(OR($I166="",$H166&lt;=0),"",MAX(TODAY()-$I166,0)))</x:f>
      </x:c>
      <x:c r="K166" s="17">
        <x:f>IF($A166="","",IF($H166&lt;=0,"已回清",IF($I166="","",IF($J166=0,"未到期",IF($J166&lt;=30,"1-30天",IF($J166&lt;=60,"31-60天",IF($J166&lt;=90,"61-90天","90天以上")))))))</x:f>
      </x:c>
      <x:c r="L166" s="14" t="n"/>
      <x:c r="M166" s="14" t="n"/>
      <x:c r="N166" s="16">
        <x:f>IF($A166="","",IF($F166="","",IF($F166=0,0,$G166/$F166)))</x:f>
      </x:c>
      <x:c r="O166" s="12" t="n"/>
      <x:c r="P166" s="16">
        <x:f>IF(OR($B166="",$H166=""),"",IFERROR($H166/VLOOKUP($B166,Customers!$A$2:$J$201,10,FALSE),""))</x:f>
      </x:c>
      <x:c r="Q166" s="17">
        <x:f>IF($A166="","",IF($H166&lt;=0,"已回清",IF($J166="","",IF($J166&gt;90,"坏账风险",IF($J166&gt;60,"高风险",IF($J166&gt;30,"中风险",IF($J166&gt;0,"预警","正常")))))))</x:f>
      </x:c>
      <x:c r="R166" s="17">
        <x:f>IF($A166="","",IF($Q166="","",IF($Q166="坏账风险","法务介入 / 准备诉讼",IF($Q166="高风险","上门沟通 / 部门经理介入",IF($Q166="中风险","电话催收 / 周度跟进",IF($Q166="预警","提醒客户按期回款","持续跟踪"))))))</x:f>
      </x:c>
      <x:c r="S166" s="13" t="n"/>
      <x:c r="T166" s="12" t="n"/>
      <x:c r="U166" s="17">
        <x:f>IF($A166="","",IF($H166&lt;=0,0,IF($J166="",0,$J166*100000000+$H166*100+ROW()/1000)))</x:f>
      </x:c>
    </x:row>
    <x:row r="167">
      <x:c r="A167" s="12" t="n"/>
      <x:c r="B167" s="12" t="n"/>
      <x:c r="C167" s="12" t="n"/>
      <x:c r="D167" s="12" t="n"/>
      <x:c r="E167" s="12" t="n"/>
      <x:c r="F167" s="14" t="n"/>
      <x:c r="G167" s="14" t="n"/>
      <x:c r="H167" s="15">
        <x:f>IF(AND($F167="",$G167=""),"",MAX($F167-$G167,0))</x:f>
      </x:c>
      <x:c r="I167" s="13" t="n"/>
      <x:c r="J167" s="17">
        <x:f>IF($A167="","",IF(OR($I167="",$H167&lt;=0),"",MAX(TODAY()-$I167,0)))</x:f>
      </x:c>
      <x:c r="K167" s="17">
        <x:f>IF($A167="","",IF($H167&lt;=0,"已回清",IF($I167="","",IF($J167=0,"未到期",IF($J167&lt;=30,"1-30天",IF($J167&lt;=60,"31-60天",IF($J167&lt;=90,"61-90天","90天以上")))))))</x:f>
      </x:c>
      <x:c r="L167" s="14" t="n"/>
      <x:c r="M167" s="14" t="n"/>
      <x:c r="N167" s="16">
        <x:f>IF($A167="","",IF($F167="","",IF($F167=0,0,$G167/$F167)))</x:f>
      </x:c>
      <x:c r="O167" s="12" t="n"/>
      <x:c r="P167" s="16">
        <x:f>IF(OR($B167="",$H167=""),"",IFERROR($H167/VLOOKUP($B167,Customers!$A$2:$J$201,10,FALSE),""))</x:f>
      </x:c>
      <x:c r="Q167" s="17">
        <x:f>IF($A167="","",IF($H167&lt;=0,"已回清",IF($J167="","",IF($J167&gt;90,"坏账风险",IF($J167&gt;60,"高风险",IF($J167&gt;30,"中风险",IF($J167&gt;0,"预警","正常")))))))</x:f>
      </x:c>
      <x:c r="R167" s="17">
        <x:f>IF($A167="","",IF($Q167="","",IF($Q167="坏账风险","法务介入 / 准备诉讼",IF($Q167="高风险","上门沟通 / 部门经理介入",IF($Q167="中风险","电话催收 / 周度跟进",IF($Q167="预警","提醒客户按期回款","持续跟踪"))))))</x:f>
      </x:c>
      <x:c r="S167" s="13" t="n"/>
      <x:c r="T167" s="12" t="n"/>
      <x:c r="U167" s="17">
        <x:f>IF($A167="","",IF($H167&lt;=0,0,IF($J167="",0,$J167*100000000+$H167*100+ROW()/1000)))</x:f>
      </x:c>
    </x:row>
    <x:row r="168">
      <x:c r="A168" s="12" t="n"/>
      <x:c r="B168" s="12" t="n"/>
      <x:c r="C168" s="12" t="n"/>
      <x:c r="D168" s="12" t="n"/>
      <x:c r="E168" s="12" t="n"/>
      <x:c r="F168" s="14" t="n"/>
      <x:c r="G168" s="14" t="n"/>
      <x:c r="H168" s="15">
        <x:f>IF(AND($F168="",$G168=""),"",MAX($F168-$G168,0))</x:f>
      </x:c>
      <x:c r="I168" s="13" t="n"/>
      <x:c r="J168" s="17">
        <x:f>IF($A168="","",IF(OR($I168="",$H168&lt;=0),"",MAX(TODAY()-$I168,0)))</x:f>
      </x:c>
      <x:c r="K168" s="17">
        <x:f>IF($A168="","",IF($H168&lt;=0,"已回清",IF($I168="","",IF($J168=0,"未到期",IF($J168&lt;=30,"1-30天",IF($J168&lt;=60,"31-60天",IF($J168&lt;=90,"61-90天","90天以上")))))))</x:f>
      </x:c>
      <x:c r="L168" s="14" t="n"/>
      <x:c r="M168" s="14" t="n"/>
      <x:c r="N168" s="16">
        <x:f>IF($A168="","",IF($F168="","",IF($F168=0,0,$G168/$F168)))</x:f>
      </x:c>
      <x:c r="O168" s="12" t="n"/>
      <x:c r="P168" s="16">
        <x:f>IF(OR($B168="",$H168=""),"",IFERROR($H168/VLOOKUP($B168,Customers!$A$2:$J$201,10,FALSE),""))</x:f>
      </x:c>
      <x:c r="Q168" s="17">
        <x:f>IF($A168="","",IF($H168&lt;=0,"已回清",IF($J168="","",IF($J168&gt;90,"坏账风险",IF($J168&gt;60,"高风险",IF($J168&gt;30,"中风险",IF($J168&gt;0,"预警","正常")))))))</x:f>
      </x:c>
      <x:c r="R168" s="17">
        <x:f>IF($A168="","",IF($Q168="","",IF($Q168="坏账风险","法务介入 / 准备诉讼",IF($Q168="高风险","上门沟通 / 部门经理介入",IF($Q168="中风险","电话催收 / 周度跟进",IF($Q168="预警","提醒客户按期回款","持续跟踪"))))))</x:f>
      </x:c>
      <x:c r="S168" s="13" t="n"/>
      <x:c r="T168" s="12" t="n"/>
      <x:c r="U168" s="17">
        <x:f>IF($A168="","",IF($H168&lt;=0,0,IF($J168="",0,$J168*100000000+$H168*100+ROW()/1000)))</x:f>
      </x:c>
    </x:row>
    <x:row r="169">
      <x:c r="A169" s="12" t="n"/>
      <x:c r="B169" s="12" t="n"/>
      <x:c r="C169" s="12" t="n"/>
      <x:c r="D169" s="12" t="n"/>
      <x:c r="E169" s="12" t="n"/>
      <x:c r="F169" s="14" t="n"/>
      <x:c r="G169" s="14" t="n"/>
      <x:c r="H169" s="15">
        <x:f>IF(AND($F169="",$G169=""),"",MAX($F169-$G169,0))</x:f>
      </x:c>
      <x:c r="I169" s="13" t="n"/>
      <x:c r="J169" s="17">
        <x:f>IF($A169="","",IF(OR($I169="",$H169&lt;=0),"",MAX(TODAY()-$I169,0)))</x:f>
      </x:c>
      <x:c r="K169" s="17">
        <x:f>IF($A169="","",IF($H169&lt;=0,"已回清",IF($I169="","",IF($J169=0,"未到期",IF($J169&lt;=30,"1-30天",IF($J169&lt;=60,"31-60天",IF($J169&lt;=90,"61-90天","90天以上")))))))</x:f>
      </x:c>
      <x:c r="L169" s="14" t="n"/>
      <x:c r="M169" s="14" t="n"/>
      <x:c r="N169" s="16">
        <x:f>IF($A169="","",IF($F169="","",IF($F169=0,0,$G169/$F169)))</x:f>
      </x:c>
      <x:c r="O169" s="12" t="n"/>
      <x:c r="P169" s="16">
        <x:f>IF(OR($B169="",$H169=""),"",IFERROR($H169/VLOOKUP($B169,Customers!$A$2:$J$201,10,FALSE),""))</x:f>
      </x:c>
      <x:c r="Q169" s="17">
        <x:f>IF($A169="","",IF($H169&lt;=0,"已回清",IF($J169="","",IF($J169&gt;90,"坏账风险",IF($J169&gt;60,"高风险",IF($J169&gt;30,"中风险",IF($J169&gt;0,"预警","正常")))))))</x:f>
      </x:c>
      <x:c r="R169" s="17">
        <x:f>IF($A169="","",IF($Q169="","",IF($Q169="坏账风险","法务介入 / 准备诉讼",IF($Q169="高风险","上门沟通 / 部门经理介入",IF($Q169="中风险","电话催收 / 周度跟进",IF($Q169="预警","提醒客户按期回款","持续跟踪"))))))</x:f>
      </x:c>
      <x:c r="S169" s="13" t="n"/>
      <x:c r="T169" s="12" t="n"/>
      <x:c r="U169" s="17">
        <x:f>IF($A169="","",IF($H169&lt;=0,0,IF($J169="",0,$J169*100000000+$H169*100+ROW()/1000)))</x:f>
      </x:c>
    </x:row>
    <x:row r="170">
      <x:c r="A170" s="12" t="n"/>
      <x:c r="B170" s="12" t="n"/>
      <x:c r="C170" s="12" t="n"/>
      <x:c r="D170" s="12" t="n"/>
      <x:c r="E170" s="12" t="n"/>
      <x:c r="F170" s="14" t="n"/>
      <x:c r="G170" s="14" t="n"/>
      <x:c r="H170" s="15">
        <x:f>IF(AND($F170="",$G170=""),"",MAX($F170-$G170,0))</x:f>
      </x:c>
      <x:c r="I170" s="13" t="n"/>
      <x:c r="J170" s="17">
        <x:f>IF($A170="","",IF(OR($I170="",$H170&lt;=0),"",MAX(TODAY()-$I170,0)))</x:f>
      </x:c>
      <x:c r="K170" s="17">
        <x:f>IF($A170="","",IF($H170&lt;=0,"已回清",IF($I170="","",IF($J170=0,"未到期",IF($J170&lt;=30,"1-30天",IF($J170&lt;=60,"31-60天",IF($J170&lt;=90,"61-90天","90天以上")))))))</x:f>
      </x:c>
      <x:c r="L170" s="14" t="n"/>
      <x:c r="M170" s="14" t="n"/>
      <x:c r="N170" s="16">
        <x:f>IF($A170="","",IF($F170="","",IF($F170=0,0,$G170/$F170)))</x:f>
      </x:c>
      <x:c r="O170" s="12" t="n"/>
      <x:c r="P170" s="16">
        <x:f>IF(OR($B170="",$H170=""),"",IFERROR($H170/VLOOKUP($B170,Customers!$A$2:$J$201,10,FALSE),""))</x:f>
      </x:c>
      <x:c r="Q170" s="17">
        <x:f>IF($A170="","",IF($H170&lt;=0,"已回清",IF($J170="","",IF($J170&gt;90,"坏账风险",IF($J170&gt;60,"高风险",IF($J170&gt;30,"中风险",IF($J170&gt;0,"预警","正常")))))))</x:f>
      </x:c>
      <x:c r="R170" s="17">
        <x:f>IF($A170="","",IF($Q170="","",IF($Q170="坏账风险","法务介入 / 准备诉讼",IF($Q170="高风险","上门沟通 / 部门经理介入",IF($Q170="中风险","电话催收 / 周度跟进",IF($Q170="预警","提醒客户按期回款","持续跟踪"))))))</x:f>
      </x:c>
      <x:c r="S170" s="13" t="n"/>
      <x:c r="T170" s="12" t="n"/>
      <x:c r="U170" s="17">
        <x:f>IF($A170="","",IF($H170&lt;=0,0,IF($J170="",0,$J170*100000000+$H170*100+ROW()/1000)))</x:f>
      </x:c>
    </x:row>
    <x:row r="171">
      <x:c r="A171" s="12" t="n"/>
      <x:c r="B171" s="12" t="n"/>
      <x:c r="C171" s="12" t="n"/>
      <x:c r="D171" s="12" t="n"/>
      <x:c r="E171" s="12" t="n"/>
      <x:c r="F171" s="14" t="n"/>
      <x:c r="G171" s="14" t="n"/>
      <x:c r="H171" s="15">
        <x:f>IF(AND($F171="",$G171=""),"",MAX($F171-$G171,0))</x:f>
      </x:c>
      <x:c r="I171" s="13" t="n"/>
      <x:c r="J171" s="17">
        <x:f>IF($A171="","",IF(OR($I171="",$H171&lt;=0),"",MAX(TODAY()-$I171,0)))</x:f>
      </x:c>
      <x:c r="K171" s="17">
        <x:f>IF($A171="","",IF($H171&lt;=0,"已回清",IF($I171="","",IF($J171=0,"未到期",IF($J171&lt;=30,"1-30天",IF($J171&lt;=60,"31-60天",IF($J171&lt;=90,"61-90天","90天以上")))))))</x:f>
      </x:c>
      <x:c r="L171" s="14" t="n"/>
      <x:c r="M171" s="14" t="n"/>
      <x:c r="N171" s="16">
        <x:f>IF($A171="","",IF($F171="","",IF($F171=0,0,$G171/$F171)))</x:f>
      </x:c>
      <x:c r="O171" s="12" t="n"/>
      <x:c r="P171" s="16">
        <x:f>IF(OR($B171="",$H171=""),"",IFERROR($H171/VLOOKUP($B171,Customers!$A$2:$J$201,10,FALSE),""))</x:f>
      </x:c>
      <x:c r="Q171" s="17">
        <x:f>IF($A171="","",IF($H171&lt;=0,"已回清",IF($J171="","",IF($J171&gt;90,"坏账风险",IF($J171&gt;60,"高风险",IF($J171&gt;30,"中风险",IF($J171&gt;0,"预警","正常")))))))</x:f>
      </x:c>
      <x:c r="R171" s="17">
        <x:f>IF($A171="","",IF($Q171="","",IF($Q171="坏账风险","法务介入 / 准备诉讼",IF($Q171="高风险","上门沟通 / 部门经理介入",IF($Q171="中风险","电话催收 / 周度跟进",IF($Q171="预警","提醒客户按期回款","持续跟踪"))))))</x:f>
      </x:c>
      <x:c r="S171" s="13" t="n"/>
      <x:c r="T171" s="12" t="n"/>
      <x:c r="U171" s="17">
        <x:f>IF($A171="","",IF($H171&lt;=0,0,IF($J171="",0,$J171*100000000+$H171*100+ROW()/1000)))</x:f>
      </x:c>
    </x:row>
    <x:row r="172">
      <x:c r="A172" s="12" t="n"/>
      <x:c r="B172" s="12" t="n"/>
      <x:c r="C172" s="12" t="n"/>
      <x:c r="D172" s="12" t="n"/>
      <x:c r="E172" s="12" t="n"/>
      <x:c r="F172" s="14" t="n"/>
      <x:c r="G172" s="14" t="n"/>
      <x:c r="H172" s="15">
        <x:f>IF(AND($F172="",$G172=""),"",MAX($F172-$G172,0))</x:f>
      </x:c>
      <x:c r="I172" s="13" t="n"/>
      <x:c r="J172" s="17">
        <x:f>IF($A172="","",IF(OR($I172="",$H172&lt;=0),"",MAX(TODAY()-$I172,0)))</x:f>
      </x:c>
      <x:c r="K172" s="17">
        <x:f>IF($A172="","",IF($H172&lt;=0,"已回清",IF($I172="","",IF($J172=0,"未到期",IF($J172&lt;=30,"1-30天",IF($J172&lt;=60,"31-60天",IF($J172&lt;=90,"61-90天","90天以上")))))))</x:f>
      </x:c>
      <x:c r="L172" s="14" t="n"/>
      <x:c r="M172" s="14" t="n"/>
      <x:c r="N172" s="16">
        <x:f>IF($A172="","",IF($F172="","",IF($F172=0,0,$G172/$F172)))</x:f>
      </x:c>
      <x:c r="O172" s="12" t="n"/>
      <x:c r="P172" s="16">
        <x:f>IF(OR($B172="",$H172=""),"",IFERROR($H172/VLOOKUP($B172,Customers!$A$2:$J$201,10,FALSE),""))</x:f>
      </x:c>
      <x:c r="Q172" s="17">
        <x:f>IF($A172="","",IF($H172&lt;=0,"已回清",IF($J172="","",IF($J172&gt;90,"坏账风险",IF($J172&gt;60,"高风险",IF($J172&gt;30,"中风险",IF($J172&gt;0,"预警","正常")))))))</x:f>
      </x:c>
      <x:c r="R172" s="17">
        <x:f>IF($A172="","",IF($Q172="","",IF($Q172="坏账风险","法务介入 / 准备诉讼",IF($Q172="高风险","上门沟通 / 部门经理介入",IF($Q172="中风险","电话催收 / 周度跟进",IF($Q172="预警","提醒客户按期回款","持续跟踪"))))))</x:f>
      </x:c>
      <x:c r="S172" s="13" t="n"/>
      <x:c r="T172" s="12" t="n"/>
      <x:c r="U172" s="17">
        <x:f>IF($A172="","",IF($H172&lt;=0,0,IF($J172="",0,$J172*100000000+$H172*100+ROW()/1000)))</x:f>
      </x:c>
    </x:row>
    <x:row r="173">
      <x:c r="A173" s="12" t="n"/>
      <x:c r="B173" s="12" t="n"/>
      <x:c r="C173" s="12" t="n"/>
      <x:c r="D173" s="12" t="n"/>
      <x:c r="E173" s="12" t="n"/>
      <x:c r="F173" s="14" t="n"/>
      <x:c r="G173" s="14" t="n"/>
      <x:c r="H173" s="15">
        <x:f>IF(AND($F173="",$G173=""),"",MAX($F173-$G173,0))</x:f>
      </x:c>
      <x:c r="I173" s="13" t="n"/>
      <x:c r="J173" s="17">
        <x:f>IF($A173="","",IF(OR($I173="",$H173&lt;=0),"",MAX(TODAY()-$I173,0)))</x:f>
      </x:c>
      <x:c r="K173" s="17">
        <x:f>IF($A173="","",IF($H173&lt;=0,"已回清",IF($I173="","",IF($J173=0,"未到期",IF($J173&lt;=30,"1-30天",IF($J173&lt;=60,"31-60天",IF($J173&lt;=90,"61-90天","90天以上")))))))</x:f>
      </x:c>
      <x:c r="L173" s="14" t="n"/>
      <x:c r="M173" s="14" t="n"/>
      <x:c r="N173" s="16">
        <x:f>IF($A173="","",IF($F173="","",IF($F173=0,0,$G173/$F173)))</x:f>
      </x:c>
      <x:c r="O173" s="12" t="n"/>
      <x:c r="P173" s="16">
        <x:f>IF(OR($B173="",$H173=""),"",IFERROR($H173/VLOOKUP($B173,Customers!$A$2:$J$201,10,FALSE),""))</x:f>
      </x:c>
      <x:c r="Q173" s="17">
        <x:f>IF($A173="","",IF($H173&lt;=0,"已回清",IF($J173="","",IF($J173&gt;90,"坏账风险",IF($J173&gt;60,"高风险",IF($J173&gt;30,"中风险",IF($J173&gt;0,"预警","正常")))))))</x:f>
      </x:c>
      <x:c r="R173" s="17">
        <x:f>IF($A173="","",IF($Q173="","",IF($Q173="坏账风险","法务介入 / 准备诉讼",IF($Q173="高风险","上门沟通 / 部门经理介入",IF($Q173="中风险","电话催收 / 周度跟进",IF($Q173="预警","提醒客户按期回款","持续跟踪"))))))</x:f>
      </x:c>
      <x:c r="S173" s="13" t="n"/>
      <x:c r="T173" s="12" t="n"/>
      <x:c r="U173" s="17">
        <x:f>IF($A173="","",IF($H173&lt;=0,0,IF($J173="",0,$J173*100000000+$H173*100+ROW()/1000)))</x:f>
      </x:c>
    </x:row>
    <x:row r="174">
      <x:c r="A174" s="12" t="n"/>
      <x:c r="B174" s="12" t="n"/>
      <x:c r="C174" s="12" t="n"/>
      <x:c r="D174" s="12" t="n"/>
      <x:c r="E174" s="12" t="n"/>
      <x:c r="F174" s="14" t="n"/>
      <x:c r="G174" s="14" t="n"/>
      <x:c r="H174" s="15">
        <x:f>IF(AND($F174="",$G174=""),"",MAX($F174-$G174,0))</x:f>
      </x:c>
      <x:c r="I174" s="13" t="n"/>
      <x:c r="J174" s="17">
        <x:f>IF($A174="","",IF(OR($I174="",$H174&lt;=0),"",MAX(TODAY()-$I174,0)))</x:f>
      </x:c>
      <x:c r="K174" s="17">
        <x:f>IF($A174="","",IF($H174&lt;=0,"已回清",IF($I174="","",IF($J174=0,"未到期",IF($J174&lt;=30,"1-30天",IF($J174&lt;=60,"31-60天",IF($J174&lt;=90,"61-90天","90天以上")))))))</x:f>
      </x:c>
      <x:c r="L174" s="14" t="n"/>
      <x:c r="M174" s="14" t="n"/>
      <x:c r="N174" s="16">
        <x:f>IF($A174="","",IF($F174="","",IF($F174=0,0,$G174/$F174)))</x:f>
      </x:c>
      <x:c r="O174" s="12" t="n"/>
      <x:c r="P174" s="16">
        <x:f>IF(OR($B174="",$H174=""),"",IFERROR($H174/VLOOKUP($B174,Customers!$A$2:$J$201,10,FALSE),""))</x:f>
      </x:c>
      <x:c r="Q174" s="17">
        <x:f>IF($A174="","",IF($H174&lt;=0,"已回清",IF($J174="","",IF($J174&gt;90,"坏账风险",IF($J174&gt;60,"高风险",IF($J174&gt;30,"中风险",IF($J174&gt;0,"预警","正常")))))))</x:f>
      </x:c>
      <x:c r="R174" s="17">
        <x:f>IF($A174="","",IF($Q174="","",IF($Q174="坏账风险","法务介入 / 准备诉讼",IF($Q174="高风险","上门沟通 / 部门经理介入",IF($Q174="中风险","电话催收 / 周度跟进",IF($Q174="预警","提醒客户按期回款","持续跟踪"))))))</x:f>
      </x:c>
      <x:c r="S174" s="13" t="n"/>
      <x:c r="T174" s="12" t="n"/>
      <x:c r="U174" s="17">
        <x:f>IF($A174="","",IF($H174&lt;=0,0,IF($J174="",0,$J174*100000000+$H174*100+ROW()/1000)))</x:f>
      </x:c>
    </x:row>
    <x:row r="175">
      <x:c r="A175" s="12" t="n"/>
      <x:c r="B175" s="12" t="n"/>
      <x:c r="C175" s="12" t="n"/>
      <x:c r="D175" s="12" t="n"/>
      <x:c r="E175" s="12" t="n"/>
      <x:c r="F175" s="14" t="n"/>
      <x:c r="G175" s="14" t="n"/>
      <x:c r="H175" s="15">
        <x:f>IF(AND($F175="",$G175=""),"",MAX($F175-$G175,0))</x:f>
      </x:c>
      <x:c r="I175" s="13" t="n"/>
      <x:c r="J175" s="17">
        <x:f>IF($A175="","",IF(OR($I175="",$H175&lt;=0),"",MAX(TODAY()-$I175,0)))</x:f>
      </x:c>
      <x:c r="K175" s="17">
        <x:f>IF($A175="","",IF($H175&lt;=0,"已回清",IF($I175="","",IF($J175=0,"未到期",IF($J175&lt;=30,"1-30天",IF($J175&lt;=60,"31-60天",IF($J175&lt;=90,"61-90天","90天以上")))))))</x:f>
      </x:c>
      <x:c r="L175" s="14" t="n"/>
      <x:c r="M175" s="14" t="n"/>
      <x:c r="N175" s="16">
        <x:f>IF($A175="","",IF($F175="","",IF($F175=0,0,$G175/$F175)))</x:f>
      </x:c>
      <x:c r="O175" s="12" t="n"/>
      <x:c r="P175" s="16">
        <x:f>IF(OR($B175="",$H175=""),"",IFERROR($H175/VLOOKUP($B175,Customers!$A$2:$J$201,10,FALSE),""))</x:f>
      </x:c>
      <x:c r="Q175" s="17">
        <x:f>IF($A175="","",IF($H175&lt;=0,"已回清",IF($J175="","",IF($J175&gt;90,"坏账风险",IF($J175&gt;60,"高风险",IF($J175&gt;30,"中风险",IF($J175&gt;0,"预警","正常")))))))</x:f>
      </x:c>
      <x:c r="R175" s="17">
        <x:f>IF($A175="","",IF($Q175="","",IF($Q175="坏账风险","法务介入 / 准备诉讼",IF($Q175="高风险","上门沟通 / 部门经理介入",IF($Q175="中风险","电话催收 / 周度跟进",IF($Q175="预警","提醒客户按期回款","持续跟踪"))))))</x:f>
      </x:c>
      <x:c r="S175" s="13" t="n"/>
      <x:c r="T175" s="12" t="n"/>
      <x:c r="U175" s="17">
        <x:f>IF($A175="","",IF($H175&lt;=0,0,IF($J175="",0,$J175*100000000+$H175*100+ROW()/1000)))</x:f>
      </x:c>
    </x:row>
    <x:row r="176">
      <x:c r="A176" s="12" t="n"/>
      <x:c r="B176" s="12" t="n"/>
      <x:c r="C176" s="12" t="n"/>
      <x:c r="D176" s="12" t="n"/>
      <x:c r="E176" s="12" t="n"/>
      <x:c r="F176" s="14" t="n"/>
      <x:c r="G176" s="14" t="n"/>
      <x:c r="H176" s="15">
        <x:f>IF(AND($F176="",$G176=""),"",MAX($F176-$G176,0))</x:f>
      </x:c>
      <x:c r="I176" s="13" t="n"/>
      <x:c r="J176" s="17">
        <x:f>IF($A176="","",IF(OR($I176="",$H176&lt;=0),"",MAX(TODAY()-$I176,0)))</x:f>
      </x:c>
      <x:c r="K176" s="17">
        <x:f>IF($A176="","",IF($H176&lt;=0,"已回清",IF($I176="","",IF($J176=0,"未到期",IF($J176&lt;=30,"1-30天",IF($J176&lt;=60,"31-60天",IF($J176&lt;=90,"61-90天","90天以上")))))))</x:f>
      </x:c>
      <x:c r="L176" s="14" t="n"/>
      <x:c r="M176" s="14" t="n"/>
      <x:c r="N176" s="16">
        <x:f>IF($A176="","",IF($F176="","",IF($F176=0,0,$G176/$F176)))</x:f>
      </x:c>
      <x:c r="O176" s="12" t="n"/>
      <x:c r="P176" s="16">
        <x:f>IF(OR($B176="",$H176=""),"",IFERROR($H176/VLOOKUP($B176,Customers!$A$2:$J$201,10,FALSE),""))</x:f>
      </x:c>
      <x:c r="Q176" s="17">
        <x:f>IF($A176="","",IF($H176&lt;=0,"已回清",IF($J176="","",IF($J176&gt;90,"坏账风险",IF($J176&gt;60,"高风险",IF($J176&gt;30,"中风险",IF($J176&gt;0,"预警","正常")))))))</x:f>
      </x:c>
      <x:c r="R176" s="17">
        <x:f>IF($A176="","",IF($Q176="","",IF($Q176="坏账风险","法务介入 / 准备诉讼",IF($Q176="高风险","上门沟通 / 部门经理介入",IF($Q176="中风险","电话催收 / 周度跟进",IF($Q176="预警","提醒客户按期回款","持续跟踪"))))))</x:f>
      </x:c>
      <x:c r="S176" s="13" t="n"/>
      <x:c r="T176" s="12" t="n"/>
      <x:c r="U176" s="17">
        <x:f>IF($A176="","",IF($H176&lt;=0,0,IF($J176="",0,$J176*100000000+$H176*100+ROW()/1000)))</x:f>
      </x:c>
    </x:row>
    <x:row r="177">
      <x:c r="A177" s="12" t="n"/>
      <x:c r="B177" s="12" t="n"/>
      <x:c r="C177" s="12" t="n"/>
      <x:c r="D177" s="12" t="n"/>
      <x:c r="E177" s="12" t="n"/>
      <x:c r="F177" s="14" t="n"/>
      <x:c r="G177" s="14" t="n"/>
      <x:c r="H177" s="15">
        <x:f>IF(AND($F177="",$G177=""),"",MAX($F177-$G177,0))</x:f>
      </x:c>
      <x:c r="I177" s="13" t="n"/>
      <x:c r="J177" s="17">
        <x:f>IF($A177="","",IF(OR($I177="",$H177&lt;=0),"",MAX(TODAY()-$I177,0)))</x:f>
      </x:c>
      <x:c r="K177" s="17">
        <x:f>IF($A177="","",IF($H177&lt;=0,"已回清",IF($I177="","",IF($J177=0,"未到期",IF($J177&lt;=30,"1-30天",IF($J177&lt;=60,"31-60天",IF($J177&lt;=90,"61-90天","90天以上")))))))</x:f>
      </x:c>
      <x:c r="L177" s="14" t="n"/>
      <x:c r="M177" s="14" t="n"/>
      <x:c r="N177" s="16">
        <x:f>IF($A177="","",IF($F177="","",IF($F177=0,0,$G177/$F177)))</x:f>
      </x:c>
      <x:c r="O177" s="12" t="n"/>
      <x:c r="P177" s="16">
        <x:f>IF(OR($B177="",$H177=""),"",IFERROR($H177/VLOOKUP($B177,Customers!$A$2:$J$201,10,FALSE),""))</x:f>
      </x:c>
      <x:c r="Q177" s="17">
        <x:f>IF($A177="","",IF($H177&lt;=0,"已回清",IF($J177="","",IF($J177&gt;90,"坏账风险",IF($J177&gt;60,"高风险",IF($J177&gt;30,"中风险",IF($J177&gt;0,"预警","正常")))))))</x:f>
      </x:c>
      <x:c r="R177" s="17">
        <x:f>IF($A177="","",IF($Q177="","",IF($Q177="坏账风险","法务介入 / 准备诉讼",IF($Q177="高风险","上门沟通 / 部门经理介入",IF($Q177="中风险","电话催收 / 周度跟进",IF($Q177="预警","提醒客户按期回款","持续跟踪"))))))</x:f>
      </x:c>
      <x:c r="S177" s="13" t="n"/>
      <x:c r="T177" s="12" t="n"/>
      <x:c r="U177" s="17">
        <x:f>IF($A177="","",IF($H177&lt;=0,0,IF($J177="",0,$J177*100000000+$H177*100+ROW()/1000)))</x:f>
      </x:c>
    </x:row>
    <x:row r="178">
      <x:c r="A178" s="12" t="n"/>
      <x:c r="B178" s="12" t="n"/>
      <x:c r="C178" s="12" t="n"/>
      <x:c r="D178" s="12" t="n"/>
      <x:c r="E178" s="12" t="n"/>
      <x:c r="F178" s="14" t="n"/>
      <x:c r="G178" s="14" t="n"/>
      <x:c r="H178" s="15">
        <x:f>IF(AND($F178="",$G178=""),"",MAX($F178-$G178,0))</x:f>
      </x:c>
      <x:c r="I178" s="13" t="n"/>
      <x:c r="J178" s="17">
        <x:f>IF($A178="","",IF(OR($I178="",$H178&lt;=0),"",MAX(TODAY()-$I178,0)))</x:f>
      </x:c>
      <x:c r="K178" s="17">
        <x:f>IF($A178="","",IF($H178&lt;=0,"已回清",IF($I178="","",IF($J178=0,"未到期",IF($J178&lt;=30,"1-30天",IF($J178&lt;=60,"31-60天",IF($J178&lt;=90,"61-90天","90天以上")))))))</x:f>
      </x:c>
      <x:c r="L178" s="14" t="n"/>
      <x:c r="M178" s="14" t="n"/>
      <x:c r="N178" s="16">
        <x:f>IF($A178="","",IF($F178="","",IF($F178=0,0,$G178/$F178)))</x:f>
      </x:c>
      <x:c r="O178" s="12" t="n"/>
      <x:c r="P178" s="16">
        <x:f>IF(OR($B178="",$H178=""),"",IFERROR($H178/VLOOKUP($B178,Customers!$A$2:$J$201,10,FALSE),""))</x:f>
      </x:c>
      <x:c r="Q178" s="17">
        <x:f>IF($A178="","",IF($H178&lt;=0,"已回清",IF($J178="","",IF($J178&gt;90,"坏账风险",IF($J178&gt;60,"高风险",IF($J178&gt;30,"中风险",IF($J178&gt;0,"预警","正常")))))))</x:f>
      </x:c>
      <x:c r="R178" s="17">
        <x:f>IF($A178="","",IF($Q178="","",IF($Q178="坏账风险","法务介入 / 准备诉讼",IF($Q178="高风险","上门沟通 / 部门经理介入",IF($Q178="中风险","电话催收 / 周度跟进",IF($Q178="预警","提醒客户按期回款","持续跟踪"))))))</x:f>
      </x:c>
      <x:c r="S178" s="13" t="n"/>
      <x:c r="T178" s="12" t="n"/>
      <x:c r="U178" s="17">
        <x:f>IF($A178="","",IF($H178&lt;=0,0,IF($J178="",0,$J178*100000000+$H178*100+ROW()/1000)))</x:f>
      </x:c>
    </x:row>
    <x:row r="179">
      <x:c r="A179" s="12" t="n"/>
      <x:c r="B179" s="12" t="n"/>
      <x:c r="C179" s="12" t="n"/>
      <x:c r="D179" s="12" t="n"/>
      <x:c r="E179" s="12" t="n"/>
      <x:c r="F179" s="14" t="n"/>
      <x:c r="G179" s="14" t="n"/>
      <x:c r="H179" s="15">
        <x:f>IF(AND($F179="",$G179=""),"",MAX($F179-$G179,0))</x:f>
      </x:c>
      <x:c r="I179" s="13" t="n"/>
      <x:c r="J179" s="17">
        <x:f>IF($A179="","",IF(OR($I179="",$H179&lt;=0),"",MAX(TODAY()-$I179,0)))</x:f>
      </x:c>
      <x:c r="K179" s="17">
        <x:f>IF($A179="","",IF($H179&lt;=0,"已回清",IF($I179="","",IF($J179=0,"未到期",IF($J179&lt;=30,"1-30天",IF($J179&lt;=60,"31-60天",IF($J179&lt;=90,"61-90天","90天以上")))))))</x:f>
      </x:c>
      <x:c r="L179" s="14" t="n"/>
      <x:c r="M179" s="14" t="n"/>
      <x:c r="N179" s="16">
        <x:f>IF($A179="","",IF($F179="","",IF($F179=0,0,$G179/$F179)))</x:f>
      </x:c>
      <x:c r="O179" s="12" t="n"/>
      <x:c r="P179" s="16">
        <x:f>IF(OR($B179="",$H179=""),"",IFERROR($H179/VLOOKUP($B179,Customers!$A$2:$J$201,10,FALSE),""))</x:f>
      </x:c>
      <x:c r="Q179" s="17">
        <x:f>IF($A179="","",IF($H179&lt;=0,"已回清",IF($J179="","",IF($J179&gt;90,"坏账风险",IF($J179&gt;60,"高风险",IF($J179&gt;30,"中风险",IF($J179&gt;0,"预警","正常")))))))</x:f>
      </x:c>
      <x:c r="R179" s="17">
        <x:f>IF($A179="","",IF($Q179="","",IF($Q179="坏账风险","法务介入 / 准备诉讼",IF($Q179="高风险","上门沟通 / 部门经理介入",IF($Q179="中风险","电话催收 / 周度跟进",IF($Q179="预警","提醒客户按期回款","持续跟踪"))))))</x:f>
      </x:c>
      <x:c r="S179" s="13" t="n"/>
      <x:c r="T179" s="12" t="n"/>
      <x:c r="U179" s="17">
        <x:f>IF($A179="","",IF($H179&lt;=0,0,IF($J179="",0,$J179*100000000+$H179*100+ROW()/1000)))</x:f>
      </x:c>
    </x:row>
    <x:row r="180">
      <x:c r="A180" s="12" t="n"/>
      <x:c r="B180" s="12" t="n"/>
      <x:c r="C180" s="12" t="n"/>
      <x:c r="D180" s="12" t="n"/>
      <x:c r="E180" s="12" t="n"/>
      <x:c r="F180" s="14" t="n"/>
      <x:c r="G180" s="14" t="n"/>
      <x:c r="H180" s="15">
        <x:f>IF(AND($F180="",$G180=""),"",MAX($F180-$G180,0))</x:f>
      </x:c>
      <x:c r="I180" s="13" t="n"/>
      <x:c r="J180" s="17">
        <x:f>IF($A180="","",IF(OR($I180="",$H180&lt;=0),"",MAX(TODAY()-$I180,0)))</x:f>
      </x:c>
      <x:c r="K180" s="17">
        <x:f>IF($A180="","",IF($H180&lt;=0,"已回清",IF($I180="","",IF($J180=0,"未到期",IF($J180&lt;=30,"1-30天",IF($J180&lt;=60,"31-60天",IF($J180&lt;=90,"61-90天","90天以上")))))))</x:f>
      </x:c>
      <x:c r="L180" s="14" t="n"/>
      <x:c r="M180" s="14" t="n"/>
      <x:c r="N180" s="16">
        <x:f>IF($A180="","",IF($F180="","",IF($F180=0,0,$G180/$F180)))</x:f>
      </x:c>
      <x:c r="O180" s="12" t="n"/>
      <x:c r="P180" s="16">
        <x:f>IF(OR($B180="",$H180=""),"",IFERROR($H180/VLOOKUP($B180,Customers!$A$2:$J$201,10,FALSE),""))</x:f>
      </x:c>
      <x:c r="Q180" s="17">
        <x:f>IF($A180="","",IF($H180&lt;=0,"已回清",IF($J180="","",IF($J180&gt;90,"坏账风险",IF($J180&gt;60,"高风险",IF($J180&gt;30,"中风险",IF($J180&gt;0,"预警","正常")))))))</x:f>
      </x:c>
      <x:c r="R180" s="17">
        <x:f>IF($A180="","",IF($Q180="","",IF($Q180="坏账风险","法务介入 / 准备诉讼",IF($Q180="高风险","上门沟通 / 部门经理介入",IF($Q180="中风险","电话催收 / 周度跟进",IF($Q180="预警","提醒客户按期回款","持续跟踪"))))))</x:f>
      </x:c>
      <x:c r="S180" s="13" t="n"/>
      <x:c r="T180" s="12" t="n"/>
      <x:c r="U180" s="17">
        <x:f>IF($A180="","",IF($H180&lt;=0,0,IF($J180="",0,$J180*100000000+$H180*100+ROW()/1000)))</x:f>
      </x:c>
    </x:row>
    <x:row r="181">
      <x:c r="A181" s="12" t="n"/>
      <x:c r="B181" s="12" t="n"/>
      <x:c r="C181" s="12" t="n"/>
      <x:c r="D181" s="12" t="n"/>
      <x:c r="E181" s="12" t="n"/>
      <x:c r="F181" s="14" t="n"/>
      <x:c r="G181" s="14" t="n"/>
      <x:c r="H181" s="15">
        <x:f>IF(AND($F181="",$G181=""),"",MAX($F181-$G181,0))</x:f>
      </x:c>
      <x:c r="I181" s="13" t="n"/>
      <x:c r="J181" s="17">
        <x:f>IF($A181="","",IF(OR($I181="",$H181&lt;=0),"",MAX(TODAY()-$I181,0)))</x:f>
      </x:c>
      <x:c r="K181" s="17">
        <x:f>IF($A181="","",IF($H181&lt;=0,"已回清",IF($I181="","",IF($J181=0,"未到期",IF($J181&lt;=30,"1-30天",IF($J181&lt;=60,"31-60天",IF($J181&lt;=90,"61-90天","90天以上")))))))</x:f>
      </x:c>
      <x:c r="L181" s="14" t="n"/>
      <x:c r="M181" s="14" t="n"/>
      <x:c r="N181" s="16">
        <x:f>IF($A181="","",IF($F181="","",IF($F181=0,0,$G181/$F181)))</x:f>
      </x:c>
      <x:c r="O181" s="12" t="n"/>
      <x:c r="P181" s="16">
        <x:f>IF(OR($B181="",$H181=""),"",IFERROR($H181/VLOOKUP($B181,Customers!$A$2:$J$201,10,FALSE),""))</x:f>
      </x:c>
      <x:c r="Q181" s="17">
        <x:f>IF($A181="","",IF($H181&lt;=0,"已回清",IF($J181="","",IF($J181&gt;90,"坏账风险",IF($J181&gt;60,"高风险",IF($J181&gt;30,"中风险",IF($J181&gt;0,"预警","正常")))))))</x:f>
      </x:c>
      <x:c r="R181" s="17">
        <x:f>IF($A181="","",IF($Q181="","",IF($Q181="坏账风险","法务介入 / 准备诉讼",IF($Q181="高风险","上门沟通 / 部门经理介入",IF($Q181="中风险","电话催收 / 周度跟进",IF($Q181="预警","提醒客户按期回款","持续跟踪"))))))</x:f>
      </x:c>
      <x:c r="S181" s="13" t="n"/>
      <x:c r="T181" s="12" t="n"/>
      <x:c r="U181" s="17">
        <x:f>IF($A181="","",IF($H181&lt;=0,0,IF($J181="",0,$J181*100000000+$H181*100+ROW()/1000)))</x:f>
      </x:c>
    </x:row>
    <x:row r="182">
      <x:c r="A182" s="12" t="n"/>
      <x:c r="B182" s="12" t="n"/>
      <x:c r="C182" s="12" t="n"/>
      <x:c r="D182" s="12" t="n"/>
      <x:c r="E182" s="12" t="n"/>
      <x:c r="F182" s="14" t="n"/>
      <x:c r="G182" s="14" t="n"/>
      <x:c r="H182" s="15">
        <x:f>IF(AND($F182="",$G182=""),"",MAX($F182-$G182,0))</x:f>
      </x:c>
      <x:c r="I182" s="13" t="n"/>
      <x:c r="J182" s="17">
        <x:f>IF($A182="","",IF(OR($I182="",$H182&lt;=0),"",MAX(TODAY()-$I182,0)))</x:f>
      </x:c>
      <x:c r="K182" s="17">
        <x:f>IF($A182="","",IF($H182&lt;=0,"已回清",IF($I182="","",IF($J182=0,"未到期",IF($J182&lt;=30,"1-30天",IF($J182&lt;=60,"31-60天",IF($J182&lt;=90,"61-90天","90天以上")))))))</x:f>
      </x:c>
      <x:c r="L182" s="14" t="n"/>
      <x:c r="M182" s="14" t="n"/>
      <x:c r="N182" s="16">
        <x:f>IF($A182="","",IF($F182="","",IF($F182=0,0,$G182/$F182)))</x:f>
      </x:c>
      <x:c r="O182" s="12" t="n"/>
      <x:c r="P182" s="16">
        <x:f>IF(OR($B182="",$H182=""),"",IFERROR($H182/VLOOKUP($B182,Customers!$A$2:$J$201,10,FALSE),""))</x:f>
      </x:c>
      <x:c r="Q182" s="17">
        <x:f>IF($A182="","",IF($H182&lt;=0,"已回清",IF($J182="","",IF($J182&gt;90,"坏账风险",IF($J182&gt;60,"高风险",IF($J182&gt;30,"中风险",IF($J182&gt;0,"预警","正常")))))))</x:f>
      </x:c>
      <x:c r="R182" s="17">
        <x:f>IF($A182="","",IF($Q182="","",IF($Q182="坏账风险","法务介入 / 准备诉讼",IF($Q182="高风险","上门沟通 / 部门经理介入",IF($Q182="中风险","电话催收 / 周度跟进",IF($Q182="预警","提醒客户按期回款","持续跟踪"))))))</x:f>
      </x:c>
      <x:c r="S182" s="13" t="n"/>
      <x:c r="T182" s="12" t="n"/>
      <x:c r="U182" s="17">
        <x:f>IF($A182="","",IF($H182&lt;=0,0,IF($J182="",0,$J182*100000000+$H182*100+ROW()/1000)))</x:f>
      </x:c>
    </x:row>
    <x:row r="183">
      <x:c r="A183" s="12" t="n"/>
      <x:c r="B183" s="12" t="n"/>
      <x:c r="C183" s="12" t="n"/>
      <x:c r="D183" s="12" t="n"/>
      <x:c r="E183" s="12" t="n"/>
      <x:c r="F183" s="14" t="n"/>
      <x:c r="G183" s="14" t="n"/>
      <x:c r="H183" s="15">
        <x:f>IF(AND($F183="",$G183=""),"",MAX($F183-$G183,0))</x:f>
      </x:c>
      <x:c r="I183" s="13" t="n"/>
      <x:c r="J183" s="17">
        <x:f>IF($A183="","",IF(OR($I183="",$H183&lt;=0),"",MAX(TODAY()-$I183,0)))</x:f>
      </x:c>
      <x:c r="K183" s="17">
        <x:f>IF($A183="","",IF($H183&lt;=0,"已回清",IF($I183="","",IF($J183=0,"未到期",IF($J183&lt;=30,"1-30天",IF($J183&lt;=60,"31-60天",IF($J183&lt;=90,"61-90天","90天以上")))))))</x:f>
      </x:c>
      <x:c r="L183" s="14" t="n"/>
      <x:c r="M183" s="14" t="n"/>
      <x:c r="N183" s="16">
        <x:f>IF($A183="","",IF($F183="","",IF($F183=0,0,$G183/$F183)))</x:f>
      </x:c>
      <x:c r="O183" s="12" t="n"/>
      <x:c r="P183" s="16">
        <x:f>IF(OR($B183="",$H183=""),"",IFERROR($H183/VLOOKUP($B183,Customers!$A$2:$J$201,10,FALSE),""))</x:f>
      </x:c>
      <x:c r="Q183" s="17">
        <x:f>IF($A183="","",IF($H183&lt;=0,"已回清",IF($J183="","",IF($J183&gt;90,"坏账风险",IF($J183&gt;60,"高风险",IF($J183&gt;30,"中风险",IF($J183&gt;0,"预警","正常")))))))</x:f>
      </x:c>
      <x:c r="R183" s="17">
        <x:f>IF($A183="","",IF($Q183="","",IF($Q183="坏账风险","法务介入 / 准备诉讼",IF($Q183="高风险","上门沟通 / 部门经理介入",IF($Q183="中风险","电话催收 / 周度跟进",IF($Q183="预警","提醒客户按期回款","持续跟踪"))))))</x:f>
      </x:c>
      <x:c r="S183" s="13" t="n"/>
      <x:c r="T183" s="12" t="n"/>
      <x:c r="U183" s="17">
        <x:f>IF($A183="","",IF($H183&lt;=0,0,IF($J183="",0,$J183*100000000+$H183*100+ROW()/1000)))</x:f>
      </x:c>
    </x:row>
    <x:row r="184">
      <x:c r="A184" s="12" t="n"/>
      <x:c r="B184" s="12" t="n"/>
      <x:c r="C184" s="12" t="n"/>
      <x:c r="D184" s="12" t="n"/>
      <x:c r="E184" s="12" t="n"/>
      <x:c r="F184" s="14" t="n"/>
      <x:c r="G184" s="14" t="n"/>
      <x:c r="H184" s="15">
        <x:f>IF(AND($F184="",$G184=""),"",MAX($F184-$G184,0))</x:f>
      </x:c>
      <x:c r="I184" s="13" t="n"/>
      <x:c r="J184" s="17">
        <x:f>IF($A184="","",IF(OR($I184="",$H184&lt;=0),"",MAX(TODAY()-$I184,0)))</x:f>
      </x:c>
      <x:c r="K184" s="17">
        <x:f>IF($A184="","",IF($H184&lt;=0,"已回清",IF($I184="","",IF($J184=0,"未到期",IF($J184&lt;=30,"1-30天",IF($J184&lt;=60,"31-60天",IF($J184&lt;=90,"61-90天","90天以上")))))))</x:f>
      </x:c>
      <x:c r="L184" s="14" t="n"/>
      <x:c r="M184" s="14" t="n"/>
      <x:c r="N184" s="16">
        <x:f>IF($A184="","",IF($F184="","",IF($F184=0,0,$G184/$F184)))</x:f>
      </x:c>
      <x:c r="O184" s="12" t="n"/>
      <x:c r="P184" s="16">
        <x:f>IF(OR($B184="",$H184=""),"",IFERROR($H184/VLOOKUP($B184,Customers!$A$2:$J$201,10,FALSE),""))</x:f>
      </x:c>
      <x:c r="Q184" s="17">
        <x:f>IF($A184="","",IF($H184&lt;=0,"已回清",IF($J184="","",IF($J184&gt;90,"坏账风险",IF($J184&gt;60,"高风险",IF($J184&gt;30,"中风险",IF($J184&gt;0,"预警","正常")))))))</x:f>
      </x:c>
      <x:c r="R184" s="17">
        <x:f>IF($A184="","",IF($Q184="","",IF($Q184="坏账风险","法务介入 / 准备诉讼",IF($Q184="高风险","上门沟通 / 部门经理介入",IF($Q184="中风险","电话催收 / 周度跟进",IF($Q184="预警","提醒客户按期回款","持续跟踪"))))))</x:f>
      </x:c>
      <x:c r="S184" s="13" t="n"/>
      <x:c r="T184" s="12" t="n"/>
      <x:c r="U184" s="17">
        <x:f>IF($A184="","",IF($H184&lt;=0,0,IF($J184="",0,$J184*100000000+$H184*100+ROW()/1000)))</x:f>
      </x:c>
    </x:row>
    <x:row r="185">
      <x:c r="A185" s="12" t="n"/>
      <x:c r="B185" s="12" t="n"/>
      <x:c r="C185" s="12" t="n"/>
      <x:c r="D185" s="12" t="n"/>
      <x:c r="E185" s="12" t="n"/>
      <x:c r="F185" s="14" t="n"/>
      <x:c r="G185" s="14" t="n"/>
      <x:c r="H185" s="15">
        <x:f>IF(AND($F185="",$G185=""),"",MAX($F185-$G185,0))</x:f>
      </x:c>
      <x:c r="I185" s="13" t="n"/>
      <x:c r="J185" s="17">
        <x:f>IF($A185="","",IF(OR($I185="",$H185&lt;=0),"",MAX(TODAY()-$I185,0)))</x:f>
      </x:c>
      <x:c r="K185" s="17">
        <x:f>IF($A185="","",IF($H185&lt;=0,"已回清",IF($I185="","",IF($J185=0,"未到期",IF($J185&lt;=30,"1-30天",IF($J185&lt;=60,"31-60天",IF($J185&lt;=90,"61-90天","90天以上")))))))</x:f>
      </x:c>
      <x:c r="L185" s="14" t="n"/>
      <x:c r="M185" s="14" t="n"/>
      <x:c r="N185" s="16">
        <x:f>IF($A185="","",IF($F185="","",IF($F185=0,0,$G185/$F185)))</x:f>
      </x:c>
      <x:c r="O185" s="12" t="n"/>
      <x:c r="P185" s="16">
        <x:f>IF(OR($B185="",$H185=""),"",IFERROR($H185/VLOOKUP($B185,Customers!$A$2:$J$201,10,FALSE),""))</x:f>
      </x:c>
      <x:c r="Q185" s="17">
        <x:f>IF($A185="","",IF($H185&lt;=0,"已回清",IF($J185="","",IF($J185&gt;90,"坏账风险",IF($J185&gt;60,"高风险",IF($J185&gt;30,"中风险",IF($J185&gt;0,"预警","正常")))))))</x:f>
      </x:c>
      <x:c r="R185" s="17">
        <x:f>IF($A185="","",IF($Q185="","",IF($Q185="坏账风险","法务介入 / 准备诉讼",IF($Q185="高风险","上门沟通 / 部门经理介入",IF($Q185="中风险","电话催收 / 周度跟进",IF($Q185="预警","提醒客户按期回款","持续跟踪"))))))</x:f>
      </x:c>
      <x:c r="S185" s="13" t="n"/>
      <x:c r="T185" s="12" t="n"/>
      <x:c r="U185" s="17">
        <x:f>IF($A185="","",IF($H185&lt;=0,0,IF($J185="",0,$J185*100000000+$H185*100+ROW()/1000)))</x:f>
      </x:c>
    </x:row>
    <x:row r="186">
      <x:c r="A186" s="12" t="n"/>
      <x:c r="B186" s="12" t="n"/>
      <x:c r="C186" s="12" t="n"/>
      <x:c r="D186" s="12" t="n"/>
      <x:c r="E186" s="12" t="n"/>
      <x:c r="F186" s="14" t="n"/>
      <x:c r="G186" s="14" t="n"/>
      <x:c r="H186" s="15">
        <x:f>IF(AND($F186="",$G186=""),"",MAX($F186-$G186,0))</x:f>
      </x:c>
      <x:c r="I186" s="13" t="n"/>
      <x:c r="J186" s="17">
        <x:f>IF($A186="","",IF(OR($I186="",$H186&lt;=0),"",MAX(TODAY()-$I186,0)))</x:f>
      </x:c>
      <x:c r="K186" s="17">
        <x:f>IF($A186="","",IF($H186&lt;=0,"已回清",IF($I186="","",IF($J186=0,"未到期",IF($J186&lt;=30,"1-30天",IF($J186&lt;=60,"31-60天",IF($J186&lt;=90,"61-90天","90天以上")))))))</x:f>
      </x:c>
      <x:c r="L186" s="14" t="n"/>
      <x:c r="M186" s="14" t="n"/>
      <x:c r="N186" s="16">
        <x:f>IF($A186="","",IF($F186="","",IF($F186=0,0,$G186/$F186)))</x:f>
      </x:c>
      <x:c r="O186" s="12" t="n"/>
      <x:c r="P186" s="16">
        <x:f>IF(OR($B186="",$H186=""),"",IFERROR($H186/VLOOKUP($B186,Customers!$A$2:$J$201,10,FALSE),""))</x:f>
      </x:c>
      <x:c r="Q186" s="17">
        <x:f>IF($A186="","",IF($H186&lt;=0,"已回清",IF($J186="","",IF($J186&gt;90,"坏账风险",IF($J186&gt;60,"高风险",IF($J186&gt;30,"中风险",IF($J186&gt;0,"预警","正常")))))))</x:f>
      </x:c>
      <x:c r="R186" s="17">
        <x:f>IF($A186="","",IF($Q186="","",IF($Q186="坏账风险","法务介入 / 准备诉讼",IF($Q186="高风险","上门沟通 / 部门经理介入",IF($Q186="中风险","电话催收 / 周度跟进",IF($Q186="预警","提醒客户按期回款","持续跟踪"))))))</x:f>
      </x:c>
      <x:c r="S186" s="13" t="n"/>
      <x:c r="T186" s="12" t="n"/>
      <x:c r="U186" s="17">
        <x:f>IF($A186="","",IF($H186&lt;=0,0,IF($J186="",0,$J186*100000000+$H186*100+ROW()/1000)))</x:f>
      </x:c>
    </x:row>
    <x:row r="187">
      <x:c r="A187" s="12" t="n"/>
      <x:c r="B187" s="12" t="n"/>
      <x:c r="C187" s="12" t="n"/>
      <x:c r="D187" s="12" t="n"/>
      <x:c r="E187" s="12" t="n"/>
      <x:c r="F187" s="14" t="n"/>
      <x:c r="G187" s="14" t="n"/>
      <x:c r="H187" s="15">
        <x:f>IF(AND($F187="",$G187=""),"",MAX($F187-$G187,0))</x:f>
      </x:c>
      <x:c r="I187" s="13" t="n"/>
      <x:c r="J187" s="17">
        <x:f>IF($A187="","",IF(OR($I187="",$H187&lt;=0),"",MAX(TODAY()-$I187,0)))</x:f>
      </x:c>
      <x:c r="K187" s="17">
        <x:f>IF($A187="","",IF($H187&lt;=0,"已回清",IF($I187="","",IF($J187=0,"未到期",IF($J187&lt;=30,"1-30天",IF($J187&lt;=60,"31-60天",IF($J187&lt;=90,"61-90天","90天以上")))))))</x:f>
      </x:c>
      <x:c r="L187" s="14" t="n"/>
      <x:c r="M187" s="14" t="n"/>
      <x:c r="N187" s="16">
        <x:f>IF($A187="","",IF($F187="","",IF($F187=0,0,$G187/$F187)))</x:f>
      </x:c>
      <x:c r="O187" s="12" t="n"/>
      <x:c r="P187" s="16">
        <x:f>IF(OR($B187="",$H187=""),"",IFERROR($H187/VLOOKUP($B187,Customers!$A$2:$J$201,10,FALSE),""))</x:f>
      </x:c>
      <x:c r="Q187" s="17">
        <x:f>IF($A187="","",IF($H187&lt;=0,"已回清",IF($J187="","",IF($J187&gt;90,"坏账风险",IF($J187&gt;60,"高风险",IF($J187&gt;30,"中风险",IF($J187&gt;0,"预警","正常")))))))</x:f>
      </x:c>
      <x:c r="R187" s="17">
        <x:f>IF($A187="","",IF($Q187="","",IF($Q187="坏账风险","法务介入 / 准备诉讼",IF($Q187="高风险","上门沟通 / 部门经理介入",IF($Q187="中风险","电话催收 / 周度跟进",IF($Q187="预警","提醒客户按期回款","持续跟踪"))))))</x:f>
      </x:c>
      <x:c r="S187" s="13" t="n"/>
      <x:c r="T187" s="12" t="n"/>
      <x:c r="U187" s="17">
        <x:f>IF($A187="","",IF($H187&lt;=0,0,IF($J187="",0,$J187*100000000+$H187*100+ROW()/1000)))</x:f>
      </x:c>
    </x:row>
    <x:row r="188">
      <x:c r="A188" s="12" t="n"/>
      <x:c r="B188" s="12" t="n"/>
      <x:c r="C188" s="12" t="n"/>
      <x:c r="D188" s="12" t="n"/>
      <x:c r="E188" s="12" t="n"/>
      <x:c r="F188" s="14" t="n"/>
      <x:c r="G188" s="14" t="n"/>
      <x:c r="H188" s="15">
        <x:f>IF(AND($F188="",$G188=""),"",MAX($F188-$G188,0))</x:f>
      </x:c>
      <x:c r="I188" s="13" t="n"/>
      <x:c r="J188" s="17">
        <x:f>IF($A188="","",IF(OR($I188="",$H188&lt;=0),"",MAX(TODAY()-$I188,0)))</x:f>
      </x:c>
      <x:c r="K188" s="17">
        <x:f>IF($A188="","",IF($H188&lt;=0,"已回清",IF($I188="","",IF($J188=0,"未到期",IF($J188&lt;=30,"1-30天",IF($J188&lt;=60,"31-60天",IF($J188&lt;=90,"61-90天","90天以上")))))))</x:f>
      </x:c>
      <x:c r="L188" s="14" t="n"/>
      <x:c r="M188" s="14" t="n"/>
      <x:c r="N188" s="16">
        <x:f>IF($A188="","",IF($F188="","",IF($F188=0,0,$G188/$F188)))</x:f>
      </x:c>
      <x:c r="O188" s="12" t="n"/>
      <x:c r="P188" s="16">
        <x:f>IF(OR($B188="",$H188=""),"",IFERROR($H188/VLOOKUP($B188,Customers!$A$2:$J$201,10,FALSE),""))</x:f>
      </x:c>
      <x:c r="Q188" s="17">
        <x:f>IF($A188="","",IF($H188&lt;=0,"已回清",IF($J188="","",IF($J188&gt;90,"坏账风险",IF($J188&gt;60,"高风险",IF($J188&gt;30,"中风险",IF($J188&gt;0,"预警","正常")))))))</x:f>
      </x:c>
      <x:c r="R188" s="17">
        <x:f>IF($A188="","",IF($Q188="","",IF($Q188="坏账风险","法务介入 / 准备诉讼",IF($Q188="高风险","上门沟通 / 部门经理介入",IF($Q188="中风险","电话催收 / 周度跟进",IF($Q188="预警","提醒客户按期回款","持续跟踪"))))))</x:f>
      </x:c>
      <x:c r="S188" s="13" t="n"/>
      <x:c r="T188" s="12" t="n"/>
      <x:c r="U188" s="17">
        <x:f>IF($A188="","",IF($H188&lt;=0,0,IF($J188="",0,$J188*100000000+$H188*100+ROW()/1000)))</x:f>
      </x:c>
    </x:row>
    <x:row r="189">
      <x:c r="A189" s="12" t="n"/>
      <x:c r="B189" s="12" t="n"/>
      <x:c r="C189" s="12" t="n"/>
      <x:c r="D189" s="12" t="n"/>
      <x:c r="E189" s="12" t="n"/>
      <x:c r="F189" s="14" t="n"/>
      <x:c r="G189" s="14" t="n"/>
      <x:c r="H189" s="15">
        <x:f>IF(AND($F189="",$G189=""),"",MAX($F189-$G189,0))</x:f>
      </x:c>
      <x:c r="I189" s="13" t="n"/>
      <x:c r="J189" s="17">
        <x:f>IF($A189="","",IF(OR($I189="",$H189&lt;=0),"",MAX(TODAY()-$I189,0)))</x:f>
      </x:c>
      <x:c r="K189" s="17">
        <x:f>IF($A189="","",IF($H189&lt;=0,"已回清",IF($I189="","",IF($J189=0,"未到期",IF($J189&lt;=30,"1-30天",IF($J189&lt;=60,"31-60天",IF($J189&lt;=90,"61-90天","90天以上")))))))</x:f>
      </x:c>
      <x:c r="L189" s="14" t="n"/>
      <x:c r="M189" s="14" t="n"/>
      <x:c r="N189" s="16">
        <x:f>IF($A189="","",IF($F189="","",IF($F189=0,0,$G189/$F189)))</x:f>
      </x:c>
      <x:c r="O189" s="12" t="n"/>
      <x:c r="P189" s="16">
        <x:f>IF(OR($B189="",$H189=""),"",IFERROR($H189/VLOOKUP($B189,Customers!$A$2:$J$201,10,FALSE),""))</x:f>
      </x:c>
      <x:c r="Q189" s="17">
        <x:f>IF($A189="","",IF($H189&lt;=0,"已回清",IF($J189="","",IF($J189&gt;90,"坏账风险",IF($J189&gt;60,"高风险",IF($J189&gt;30,"中风险",IF($J189&gt;0,"预警","正常")))))))</x:f>
      </x:c>
      <x:c r="R189" s="17">
        <x:f>IF($A189="","",IF($Q189="","",IF($Q189="坏账风险","法务介入 / 准备诉讼",IF($Q189="高风险","上门沟通 / 部门经理介入",IF($Q189="中风险","电话催收 / 周度跟进",IF($Q189="预警","提醒客户按期回款","持续跟踪"))))))</x:f>
      </x:c>
      <x:c r="S189" s="13" t="n"/>
      <x:c r="T189" s="12" t="n"/>
      <x:c r="U189" s="17">
        <x:f>IF($A189="","",IF($H189&lt;=0,0,IF($J189="",0,$J189*100000000+$H189*100+ROW()/1000)))</x:f>
      </x:c>
    </x:row>
    <x:row r="190">
      <x:c r="A190" s="12" t="n"/>
      <x:c r="B190" s="12" t="n"/>
      <x:c r="C190" s="12" t="n"/>
      <x:c r="D190" s="12" t="n"/>
      <x:c r="E190" s="12" t="n"/>
      <x:c r="F190" s="14" t="n"/>
      <x:c r="G190" s="14" t="n"/>
      <x:c r="H190" s="15">
        <x:f>IF(AND($F190="",$G190=""),"",MAX($F190-$G190,0))</x:f>
      </x:c>
      <x:c r="I190" s="13" t="n"/>
      <x:c r="J190" s="17">
        <x:f>IF($A190="","",IF(OR($I190="",$H190&lt;=0),"",MAX(TODAY()-$I190,0)))</x:f>
      </x:c>
      <x:c r="K190" s="17">
        <x:f>IF($A190="","",IF($H190&lt;=0,"已回清",IF($I190="","",IF($J190=0,"未到期",IF($J190&lt;=30,"1-30天",IF($J190&lt;=60,"31-60天",IF($J190&lt;=90,"61-90天","90天以上")))))))</x:f>
      </x:c>
      <x:c r="L190" s="14" t="n"/>
      <x:c r="M190" s="14" t="n"/>
      <x:c r="N190" s="16">
        <x:f>IF($A190="","",IF($F190="","",IF($F190=0,0,$G190/$F190)))</x:f>
      </x:c>
      <x:c r="O190" s="12" t="n"/>
      <x:c r="P190" s="16">
        <x:f>IF(OR($B190="",$H190=""),"",IFERROR($H190/VLOOKUP($B190,Customers!$A$2:$J$201,10,FALSE),""))</x:f>
      </x:c>
      <x:c r="Q190" s="17">
        <x:f>IF($A190="","",IF($H190&lt;=0,"已回清",IF($J190="","",IF($J190&gt;90,"坏账风险",IF($J190&gt;60,"高风险",IF($J190&gt;30,"中风险",IF($J190&gt;0,"预警","正常")))))))</x:f>
      </x:c>
      <x:c r="R190" s="17">
        <x:f>IF($A190="","",IF($Q190="","",IF($Q190="坏账风险","法务介入 / 准备诉讼",IF($Q190="高风险","上门沟通 / 部门经理介入",IF($Q190="中风险","电话催收 / 周度跟进",IF($Q190="预警","提醒客户按期回款","持续跟踪"))))))</x:f>
      </x:c>
      <x:c r="S190" s="13" t="n"/>
      <x:c r="T190" s="12" t="n"/>
      <x:c r="U190" s="17">
        <x:f>IF($A190="","",IF($H190&lt;=0,0,IF($J190="",0,$J190*100000000+$H190*100+ROW()/1000)))</x:f>
      </x:c>
    </x:row>
    <x:row r="191">
      <x:c r="A191" s="12" t="n"/>
      <x:c r="B191" s="12" t="n"/>
      <x:c r="C191" s="12" t="n"/>
      <x:c r="D191" s="12" t="n"/>
      <x:c r="E191" s="12" t="n"/>
      <x:c r="F191" s="14" t="n"/>
      <x:c r="G191" s="14" t="n"/>
      <x:c r="H191" s="15">
        <x:f>IF(AND($F191="",$G191=""),"",MAX($F191-$G191,0))</x:f>
      </x:c>
      <x:c r="I191" s="13" t="n"/>
      <x:c r="J191" s="17">
        <x:f>IF($A191="","",IF(OR($I191="",$H191&lt;=0),"",MAX(TODAY()-$I191,0)))</x:f>
      </x:c>
      <x:c r="K191" s="17">
        <x:f>IF($A191="","",IF($H191&lt;=0,"已回清",IF($I191="","",IF($J191=0,"未到期",IF($J191&lt;=30,"1-30天",IF($J191&lt;=60,"31-60天",IF($J191&lt;=90,"61-90天","90天以上")))))))</x:f>
      </x:c>
      <x:c r="L191" s="14" t="n"/>
      <x:c r="M191" s="14" t="n"/>
      <x:c r="N191" s="16">
        <x:f>IF($A191="","",IF($F191="","",IF($F191=0,0,$G191/$F191)))</x:f>
      </x:c>
      <x:c r="O191" s="12" t="n"/>
      <x:c r="P191" s="16">
        <x:f>IF(OR($B191="",$H191=""),"",IFERROR($H191/VLOOKUP($B191,Customers!$A$2:$J$201,10,FALSE),""))</x:f>
      </x:c>
      <x:c r="Q191" s="17">
        <x:f>IF($A191="","",IF($H191&lt;=0,"已回清",IF($J191="","",IF($J191&gt;90,"坏账风险",IF($J191&gt;60,"高风险",IF($J191&gt;30,"中风险",IF($J191&gt;0,"预警","正常")))))))</x:f>
      </x:c>
      <x:c r="R191" s="17">
        <x:f>IF($A191="","",IF($Q191="","",IF($Q191="坏账风险","法务介入 / 准备诉讼",IF($Q191="高风险","上门沟通 / 部门经理介入",IF($Q191="中风险","电话催收 / 周度跟进",IF($Q191="预警","提醒客户按期回款","持续跟踪"))))))</x:f>
      </x:c>
      <x:c r="S191" s="13" t="n"/>
      <x:c r="T191" s="12" t="n"/>
      <x:c r="U191" s="17">
        <x:f>IF($A191="","",IF($H191&lt;=0,0,IF($J191="",0,$J191*100000000+$H191*100+ROW()/1000)))</x:f>
      </x:c>
    </x:row>
    <x:row r="192">
      <x:c r="A192" s="12" t="n"/>
      <x:c r="B192" s="12" t="n"/>
      <x:c r="C192" s="12" t="n"/>
      <x:c r="D192" s="12" t="n"/>
      <x:c r="E192" s="12" t="n"/>
      <x:c r="F192" s="14" t="n"/>
      <x:c r="G192" s="14" t="n"/>
      <x:c r="H192" s="15">
        <x:f>IF(AND($F192="",$G192=""),"",MAX($F192-$G192,0))</x:f>
      </x:c>
      <x:c r="I192" s="13" t="n"/>
      <x:c r="J192" s="17">
        <x:f>IF($A192="","",IF(OR($I192="",$H192&lt;=0),"",MAX(TODAY()-$I192,0)))</x:f>
      </x:c>
      <x:c r="K192" s="17">
        <x:f>IF($A192="","",IF($H192&lt;=0,"已回清",IF($I192="","",IF($J192=0,"未到期",IF($J192&lt;=30,"1-30天",IF($J192&lt;=60,"31-60天",IF($J192&lt;=90,"61-90天","90天以上")))))))</x:f>
      </x:c>
      <x:c r="L192" s="14" t="n"/>
      <x:c r="M192" s="14" t="n"/>
      <x:c r="N192" s="16">
        <x:f>IF($A192="","",IF($F192="","",IF($F192=0,0,$G192/$F192)))</x:f>
      </x:c>
      <x:c r="O192" s="12" t="n"/>
      <x:c r="P192" s="16">
        <x:f>IF(OR($B192="",$H192=""),"",IFERROR($H192/VLOOKUP($B192,Customers!$A$2:$J$201,10,FALSE),""))</x:f>
      </x:c>
      <x:c r="Q192" s="17">
        <x:f>IF($A192="","",IF($H192&lt;=0,"已回清",IF($J192="","",IF($J192&gt;90,"坏账风险",IF($J192&gt;60,"高风险",IF($J192&gt;30,"中风险",IF($J192&gt;0,"预警","正常")))))))</x:f>
      </x:c>
      <x:c r="R192" s="17">
        <x:f>IF($A192="","",IF($Q192="","",IF($Q192="坏账风险","法务介入 / 准备诉讼",IF($Q192="高风险","上门沟通 / 部门经理介入",IF($Q192="中风险","电话催收 / 周度跟进",IF($Q192="预警","提醒客户按期回款","持续跟踪"))))))</x:f>
      </x:c>
      <x:c r="S192" s="13" t="n"/>
      <x:c r="T192" s="12" t="n"/>
      <x:c r="U192" s="17">
        <x:f>IF($A192="","",IF($H192&lt;=0,0,IF($J192="",0,$J192*100000000+$H192*100+ROW()/1000)))</x:f>
      </x:c>
    </x:row>
    <x:row r="193">
      <x:c r="A193" s="12" t="n"/>
      <x:c r="B193" s="12" t="n"/>
      <x:c r="C193" s="12" t="n"/>
      <x:c r="D193" s="12" t="n"/>
      <x:c r="E193" s="12" t="n"/>
      <x:c r="F193" s="14" t="n"/>
      <x:c r="G193" s="14" t="n"/>
      <x:c r="H193" s="15">
        <x:f>IF(AND($F193="",$G193=""),"",MAX($F193-$G193,0))</x:f>
      </x:c>
      <x:c r="I193" s="13" t="n"/>
      <x:c r="J193" s="17">
        <x:f>IF($A193="","",IF(OR($I193="",$H193&lt;=0),"",MAX(TODAY()-$I193,0)))</x:f>
      </x:c>
      <x:c r="K193" s="17">
        <x:f>IF($A193="","",IF($H193&lt;=0,"已回清",IF($I193="","",IF($J193=0,"未到期",IF($J193&lt;=30,"1-30天",IF($J193&lt;=60,"31-60天",IF($J193&lt;=90,"61-90天","90天以上")))))))</x:f>
      </x:c>
      <x:c r="L193" s="14" t="n"/>
      <x:c r="M193" s="14" t="n"/>
      <x:c r="N193" s="16">
        <x:f>IF($A193="","",IF($F193="","",IF($F193=0,0,$G193/$F193)))</x:f>
      </x:c>
      <x:c r="O193" s="12" t="n"/>
      <x:c r="P193" s="16">
        <x:f>IF(OR($B193="",$H193=""),"",IFERROR($H193/VLOOKUP($B193,Customers!$A$2:$J$201,10,FALSE),""))</x:f>
      </x:c>
      <x:c r="Q193" s="17">
        <x:f>IF($A193="","",IF($H193&lt;=0,"已回清",IF($J193="","",IF($J193&gt;90,"坏账风险",IF($J193&gt;60,"高风险",IF($J193&gt;30,"中风险",IF($J193&gt;0,"预警","正常")))))))</x:f>
      </x:c>
      <x:c r="R193" s="17">
        <x:f>IF($A193="","",IF($Q193="","",IF($Q193="坏账风险","法务介入 / 准备诉讼",IF($Q193="高风险","上门沟通 / 部门经理介入",IF($Q193="中风险","电话催收 / 周度跟进",IF($Q193="预警","提醒客户按期回款","持续跟踪"))))))</x:f>
      </x:c>
      <x:c r="S193" s="13" t="n"/>
      <x:c r="T193" s="12" t="n"/>
      <x:c r="U193" s="17">
        <x:f>IF($A193="","",IF($H193&lt;=0,0,IF($J193="",0,$J193*100000000+$H193*100+ROW()/1000)))</x:f>
      </x:c>
    </x:row>
    <x:row r="194">
      <x:c r="A194" s="12" t="n"/>
      <x:c r="B194" s="12" t="n"/>
      <x:c r="C194" s="12" t="n"/>
      <x:c r="D194" s="12" t="n"/>
      <x:c r="E194" s="12" t="n"/>
      <x:c r="F194" s="14" t="n"/>
      <x:c r="G194" s="14" t="n"/>
      <x:c r="H194" s="15">
        <x:f>IF(AND($F194="",$G194=""),"",MAX($F194-$G194,0))</x:f>
      </x:c>
      <x:c r="I194" s="13" t="n"/>
      <x:c r="J194" s="17">
        <x:f>IF($A194="","",IF(OR($I194="",$H194&lt;=0),"",MAX(TODAY()-$I194,0)))</x:f>
      </x:c>
      <x:c r="K194" s="17">
        <x:f>IF($A194="","",IF($H194&lt;=0,"已回清",IF($I194="","",IF($J194=0,"未到期",IF($J194&lt;=30,"1-30天",IF($J194&lt;=60,"31-60天",IF($J194&lt;=90,"61-90天","90天以上")))))))</x:f>
      </x:c>
      <x:c r="L194" s="14" t="n"/>
      <x:c r="M194" s="14" t="n"/>
      <x:c r="N194" s="16">
        <x:f>IF($A194="","",IF($F194="","",IF($F194=0,0,$G194/$F194)))</x:f>
      </x:c>
      <x:c r="O194" s="12" t="n"/>
      <x:c r="P194" s="16">
        <x:f>IF(OR($B194="",$H194=""),"",IFERROR($H194/VLOOKUP($B194,Customers!$A$2:$J$201,10,FALSE),""))</x:f>
      </x:c>
      <x:c r="Q194" s="17">
        <x:f>IF($A194="","",IF($H194&lt;=0,"已回清",IF($J194="","",IF($J194&gt;90,"坏账风险",IF($J194&gt;60,"高风险",IF($J194&gt;30,"中风险",IF($J194&gt;0,"预警","正常")))))))</x:f>
      </x:c>
      <x:c r="R194" s="17">
        <x:f>IF($A194="","",IF($Q194="","",IF($Q194="坏账风险","法务介入 / 准备诉讼",IF($Q194="高风险","上门沟通 / 部门经理介入",IF($Q194="中风险","电话催收 / 周度跟进",IF($Q194="预警","提醒客户按期回款","持续跟踪"))))))</x:f>
      </x:c>
      <x:c r="S194" s="13" t="n"/>
      <x:c r="T194" s="12" t="n"/>
      <x:c r="U194" s="17">
        <x:f>IF($A194="","",IF($H194&lt;=0,0,IF($J194="",0,$J194*100000000+$H194*100+ROW()/1000)))</x:f>
      </x:c>
    </x:row>
    <x:row r="195">
      <x:c r="A195" s="12" t="n"/>
      <x:c r="B195" s="12" t="n"/>
      <x:c r="C195" s="12" t="n"/>
      <x:c r="D195" s="12" t="n"/>
      <x:c r="E195" s="12" t="n"/>
      <x:c r="F195" s="14" t="n"/>
      <x:c r="G195" s="14" t="n"/>
      <x:c r="H195" s="15">
        <x:f>IF(AND($F195="",$G195=""),"",MAX($F195-$G195,0))</x:f>
      </x:c>
      <x:c r="I195" s="13" t="n"/>
      <x:c r="J195" s="17">
        <x:f>IF($A195="","",IF(OR($I195="",$H195&lt;=0),"",MAX(TODAY()-$I195,0)))</x:f>
      </x:c>
      <x:c r="K195" s="17">
        <x:f>IF($A195="","",IF($H195&lt;=0,"已回清",IF($I195="","",IF($J195=0,"未到期",IF($J195&lt;=30,"1-30天",IF($J195&lt;=60,"31-60天",IF($J195&lt;=90,"61-90天","90天以上")))))))</x:f>
      </x:c>
      <x:c r="L195" s="14" t="n"/>
      <x:c r="M195" s="14" t="n"/>
      <x:c r="N195" s="16">
        <x:f>IF($A195="","",IF($F195="","",IF($F195=0,0,$G195/$F195)))</x:f>
      </x:c>
      <x:c r="O195" s="12" t="n"/>
      <x:c r="P195" s="16">
        <x:f>IF(OR($B195="",$H195=""),"",IFERROR($H195/VLOOKUP($B195,Customers!$A$2:$J$201,10,FALSE),""))</x:f>
      </x:c>
      <x:c r="Q195" s="17">
        <x:f>IF($A195="","",IF($H195&lt;=0,"已回清",IF($J195="","",IF($J195&gt;90,"坏账风险",IF($J195&gt;60,"高风险",IF($J195&gt;30,"中风险",IF($J195&gt;0,"预警","正常")))))))</x:f>
      </x:c>
      <x:c r="R195" s="17">
        <x:f>IF($A195="","",IF($Q195="","",IF($Q195="坏账风险","法务介入 / 准备诉讼",IF($Q195="高风险","上门沟通 / 部门经理介入",IF($Q195="中风险","电话催收 / 周度跟进",IF($Q195="预警","提醒客户按期回款","持续跟踪"))))))</x:f>
      </x:c>
      <x:c r="S195" s="13" t="n"/>
      <x:c r="T195" s="12" t="n"/>
      <x:c r="U195" s="17">
        <x:f>IF($A195="","",IF($H195&lt;=0,0,IF($J195="",0,$J195*100000000+$H195*100+ROW()/1000)))</x:f>
      </x:c>
    </x:row>
    <x:row r="196">
      <x:c r="A196" s="12" t="n"/>
      <x:c r="B196" s="12" t="n"/>
      <x:c r="C196" s="12" t="n"/>
      <x:c r="D196" s="12" t="n"/>
      <x:c r="E196" s="12" t="n"/>
      <x:c r="F196" s="14" t="n"/>
      <x:c r="G196" s="14" t="n"/>
      <x:c r="H196" s="15">
        <x:f>IF(AND($F196="",$G196=""),"",MAX($F196-$G196,0))</x:f>
      </x:c>
      <x:c r="I196" s="13" t="n"/>
      <x:c r="J196" s="17">
        <x:f>IF($A196="","",IF(OR($I196="",$H196&lt;=0),"",MAX(TODAY()-$I196,0)))</x:f>
      </x:c>
      <x:c r="K196" s="17">
        <x:f>IF($A196="","",IF($H196&lt;=0,"已回清",IF($I196="","",IF($J196=0,"未到期",IF($J196&lt;=30,"1-30天",IF($J196&lt;=60,"31-60天",IF($J196&lt;=90,"61-90天","90天以上")))))))</x:f>
      </x:c>
      <x:c r="L196" s="14" t="n"/>
      <x:c r="M196" s="14" t="n"/>
      <x:c r="N196" s="16">
        <x:f>IF($A196="","",IF($F196="","",IF($F196=0,0,$G196/$F196)))</x:f>
      </x:c>
      <x:c r="O196" s="12" t="n"/>
      <x:c r="P196" s="16">
        <x:f>IF(OR($B196="",$H196=""),"",IFERROR($H196/VLOOKUP($B196,Customers!$A$2:$J$201,10,FALSE),""))</x:f>
      </x:c>
      <x:c r="Q196" s="17">
        <x:f>IF($A196="","",IF($H196&lt;=0,"已回清",IF($J196="","",IF($J196&gt;90,"坏账风险",IF($J196&gt;60,"高风险",IF($J196&gt;30,"中风险",IF($J196&gt;0,"预警","正常")))))))</x:f>
      </x:c>
      <x:c r="R196" s="17">
        <x:f>IF($A196="","",IF($Q196="","",IF($Q196="坏账风险","法务介入 / 准备诉讼",IF($Q196="高风险","上门沟通 / 部门经理介入",IF($Q196="中风险","电话催收 / 周度跟进",IF($Q196="预警","提醒客户按期回款","持续跟踪"))))))</x:f>
      </x:c>
      <x:c r="S196" s="13" t="n"/>
      <x:c r="T196" s="12" t="n"/>
      <x:c r="U196" s="17">
        <x:f>IF($A196="","",IF($H196&lt;=0,0,IF($J196="",0,$J196*100000000+$H196*100+ROW()/1000)))</x:f>
      </x:c>
    </x:row>
    <x:row r="197">
      <x:c r="A197" s="12" t="n"/>
      <x:c r="B197" s="12" t="n"/>
      <x:c r="C197" s="12" t="n"/>
      <x:c r="D197" s="12" t="n"/>
      <x:c r="E197" s="12" t="n"/>
      <x:c r="F197" s="14" t="n"/>
      <x:c r="G197" s="14" t="n"/>
      <x:c r="H197" s="15">
        <x:f>IF(AND($F197="",$G197=""),"",MAX($F197-$G197,0))</x:f>
      </x:c>
      <x:c r="I197" s="13" t="n"/>
      <x:c r="J197" s="17">
        <x:f>IF($A197="","",IF(OR($I197="",$H197&lt;=0),"",MAX(TODAY()-$I197,0)))</x:f>
      </x:c>
      <x:c r="K197" s="17">
        <x:f>IF($A197="","",IF($H197&lt;=0,"已回清",IF($I197="","",IF($J197=0,"未到期",IF($J197&lt;=30,"1-30天",IF($J197&lt;=60,"31-60天",IF($J197&lt;=90,"61-90天","90天以上")))))))</x:f>
      </x:c>
      <x:c r="L197" s="14" t="n"/>
      <x:c r="M197" s="14" t="n"/>
      <x:c r="N197" s="16">
        <x:f>IF($A197="","",IF($F197="","",IF($F197=0,0,$G197/$F197)))</x:f>
      </x:c>
      <x:c r="O197" s="12" t="n"/>
      <x:c r="P197" s="16">
        <x:f>IF(OR($B197="",$H197=""),"",IFERROR($H197/VLOOKUP($B197,Customers!$A$2:$J$201,10,FALSE),""))</x:f>
      </x:c>
      <x:c r="Q197" s="17">
        <x:f>IF($A197="","",IF($H197&lt;=0,"已回清",IF($J197="","",IF($J197&gt;90,"坏账风险",IF($J197&gt;60,"高风险",IF($J197&gt;30,"中风险",IF($J197&gt;0,"预警","正常")))))))</x:f>
      </x:c>
      <x:c r="R197" s="17">
        <x:f>IF($A197="","",IF($Q197="","",IF($Q197="坏账风险","法务介入 / 准备诉讼",IF($Q197="高风险","上门沟通 / 部门经理介入",IF($Q197="中风险","电话催收 / 周度跟进",IF($Q197="预警","提醒客户按期回款","持续跟踪"))))))</x:f>
      </x:c>
      <x:c r="S197" s="13" t="n"/>
      <x:c r="T197" s="12" t="n"/>
      <x:c r="U197" s="17">
        <x:f>IF($A197="","",IF($H197&lt;=0,0,IF($J197="",0,$J197*100000000+$H197*100+ROW()/1000)))</x:f>
      </x:c>
    </x:row>
    <x:row r="198">
      <x:c r="A198" s="12" t="n"/>
      <x:c r="B198" s="12" t="n"/>
      <x:c r="C198" s="12" t="n"/>
      <x:c r="D198" s="12" t="n"/>
      <x:c r="E198" s="12" t="n"/>
      <x:c r="F198" s="14" t="n"/>
      <x:c r="G198" s="14" t="n"/>
      <x:c r="H198" s="15">
        <x:f>IF(AND($F198="",$G198=""),"",MAX($F198-$G198,0))</x:f>
      </x:c>
      <x:c r="I198" s="13" t="n"/>
      <x:c r="J198" s="17">
        <x:f>IF($A198="","",IF(OR($I198="",$H198&lt;=0),"",MAX(TODAY()-$I198,0)))</x:f>
      </x:c>
      <x:c r="K198" s="17">
        <x:f>IF($A198="","",IF($H198&lt;=0,"已回清",IF($I198="","",IF($J198=0,"未到期",IF($J198&lt;=30,"1-30天",IF($J198&lt;=60,"31-60天",IF($J198&lt;=90,"61-90天","90天以上")))))))</x:f>
      </x:c>
      <x:c r="L198" s="14" t="n"/>
      <x:c r="M198" s="14" t="n"/>
      <x:c r="N198" s="16">
        <x:f>IF($A198="","",IF($F198="","",IF($F198=0,0,$G198/$F198)))</x:f>
      </x:c>
      <x:c r="O198" s="12" t="n"/>
      <x:c r="P198" s="16">
        <x:f>IF(OR($B198="",$H198=""),"",IFERROR($H198/VLOOKUP($B198,Customers!$A$2:$J$201,10,FALSE),""))</x:f>
      </x:c>
      <x:c r="Q198" s="17">
        <x:f>IF($A198="","",IF($H198&lt;=0,"已回清",IF($J198="","",IF($J198&gt;90,"坏账风险",IF($J198&gt;60,"高风险",IF($J198&gt;30,"中风险",IF($J198&gt;0,"预警","正常")))))))</x:f>
      </x:c>
      <x:c r="R198" s="17">
        <x:f>IF($A198="","",IF($Q198="","",IF($Q198="坏账风险","法务介入 / 准备诉讼",IF($Q198="高风险","上门沟通 / 部门经理介入",IF($Q198="中风险","电话催收 / 周度跟进",IF($Q198="预警","提醒客户按期回款","持续跟踪"))))))</x:f>
      </x:c>
      <x:c r="S198" s="13" t="n"/>
      <x:c r="T198" s="12" t="n"/>
      <x:c r="U198" s="17">
        <x:f>IF($A198="","",IF($H198&lt;=0,0,IF($J198="",0,$J198*100000000+$H198*100+ROW()/1000)))</x:f>
      </x:c>
    </x:row>
    <x:row r="199">
      <x:c r="A199" s="12" t="n"/>
      <x:c r="B199" s="12" t="n"/>
      <x:c r="C199" s="12" t="n"/>
      <x:c r="D199" s="12" t="n"/>
      <x:c r="E199" s="12" t="n"/>
      <x:c r="F199" s="14" t="n"/>
      <x:c r="G199" s="14" t="n"/>
      <x:c r="H199" s="15">
        <x:f>IF(AND($F199="",$G199=""),"",MAX($F199-$G199,0))</x:f>
      </x:c>
      <x:c r="I199" s="13" t="n"/>
      <x:c r="J199" s="17">
        <x:f>IF($A199="","",IF(OR($I199="",$H199&lt;=0),"",MAX(TODAY()-$I199,0)))</x:f>
      </x:c>
      <x:c r="K199" s="17">
        <x:f>IF($A199="","",IF($H199&lt;=0,"已回清",IF($I199="","",IF($J199=0,"未到期",IF($J199&lt;=30,"1-30天",IF($J199&lt;=60,"31-60天",IF($J199&lt;=90,"61-90天","90天以上")))))))</x:f>
      </x:c>
      <x:c r="L199" s="14" t="n"/>
      <x:c r="M199" s="14" t="n"/>
      <x:c r="N199" s="16">
        <x:f>IF($A199="","",IF($F199="","",IF($F199=0,0,$G199/$F199)))</x:f>
      </x:c>
      <x:c r="O199" s="12" t="n"/>
      <x:c r="P199" s="16">
        <x:f>IF(OR($B199="",$H199=""),"",IFERROR($H199/VLOOKUP($B199,Customers!$A$2:$J$201,10,FALSE),""))</x:f>
      </x:c>
      <x:c r="Q199" s="17">
        <x:f>IF($A199="","",IF($H199&lt;=0,"已回清",IF($J199="","",IF($J199&gt;90,"坏账风险",IF($J199&gt;60,"高风险",IF($J199&gt;30,"中风险",IF($J199&gt;0,"预警","正常")))))))</x:f>
      </x:c>
      <x:c r="R199" s="17">
        <x:f>IF($A199="","",IF($Q199="","",IF($Q199="坏账风险","法务介入 / 准备诉讼",IF($Q199="高风险","上门沟通 / 部门经理介入",IF($Q199="中风险","电话催收 / 周度跟进",IF($Q199="预警","提醒客户按期回款","持续跟踪"))))))</x:f>
      </x:c>
      <x:c r="S199" s="13" t="n"/>
      <x:c r="T199" s="12" t="n"/>
      <x:c r="U199" s="17">
        <x:f>IF($A199="","",IF($H199&lt;=0,0,IF($J199="",0,$J199*100000000+$H199*100+ROW()/1000)))</x:f>
      </x:c>
    </x:row>
    <x:row r="200">
      <x:c r="A200" s="12" t="n"/>
      <x:c r="B200" s="12" t="n"/>
      <x:c r="C200" s="12" t="n"/>
      <x:c r="D200" s="12" t="n"/>
      <x:c r="E200" s="12" t="n"/>
      <x:c r="F200" s="14" t="n"/>
      <x:c r="G200" s="14" t="n"/>
      <x:c r="H200" s="15">
        <x:f>IF(AND($F200="",$G200=""),"",MAX($F200-$G200,0))</x:f>
      </x:c>
      <x:c r="I200" s="13" t="n"/>
      <x:c r="J200" s="17">
        <x:f>IF($A200="","",IF(OR($I200="",$H200&lt;=0),"",MAX(TODAY()-$I200,0)))</x:f>
      </x:c>
      <x:c r="K200" s="17">
        <x:f>IF($A200="","",IF($H200&lt;=0,"已回清",IF($I200="","",IF($J200=0,"未到期",IF($J200&lt;=30,"1-30天",IF($J200&lt;=60,"31-60天",IF($J200&lt;=90,"61-90天","90天以上")))))))</x:f>
      </x:c>
      <x:c r="L200" s="14" t="n"/>
      <x:c r="M200" s="14" t="n"/>
      <x:c r="N200" s="16">
        <x:f>IF($A200="","",IF($F200="","",IF($F200=0,0,$G200/$F200)))</x:f>
      </x:c>
      <x:c r="O200" s="12" t="n"/>
      <x:c r="P200" s="16">
        <x:f>IF(OR($B200="",$H200=""),"",IFERROR($H200/VLOOKUP($B200,Customers!$A$2:$J$201,10,FALSE),""))</x:f>
      </x:c>
      <x:c r="Q200" s="17">
        <x:f>IF($A200="","",IF($H200&lt;=0,"已回清",IF($J200="","",IF($J200&gt;90,"坏账风险",IF($J200&gt;60,"高风险",IF($J200&gt;30,"中风险",IF($J200&gt;0,"预警","正常")))))))</x:f>
      </x:c>
      <x:c r="R200" s="17">
        <x:f>IF($A200="","",IF($Q200="","",IF($Q200="坏账风险","法务介入 / 准备诉讼",IF($Q200="高风险","上门沟通 / 部门经理介入",IF($Q200="中风险","电话催收 / 周度跟进",IF($Q200="预警","提醒客户按期回款","持续跟踪"))))))</x:f>
      </x:c>
      <x:c r="S200" s="13" t="n"/>
      <x:c r="T200" s="12" t="n"/>
      <x:c r="U200" s="17">
        <x:f>IF($A200="","",IF($H200&lt;=0,0,IF($J200="",0,$J200*100000000+$H200*100+ROW()/1000)))</x:f>
      </x:c>
    </x:row>
    <x:row r="201">
      <x:c r="A201" s="12" t="n"/>
      <x:c r="B201" s="12" t="n"/>
      <x:c r="C201" s="12" t="n"/>
      <x:c r="D201" s="12" t="n"/>
      <x:c r="E201" s="12" t="n"/>
      <x:c r="F201" s="14" t="n"/>
      <x:c r="G201" s="14" t="n"/>
      <x:c r="H201" s="15">
        <x:f>IF(AND($F201="",$G201=""),"",MAX($F201-$G201,0))</x:f>
      </x:c>
      <x:c r="I201" s="13" t="n"/>
      <x:c r="J201" s="17">
        <x:f>IF($A201="","",IF(OR($I201="",$H201&lt;=0),"",MAX(TODAY()-$I201,0)))</x:f>
      </x:c>
      <x:c r="K201" s="17">
        <x:f>IF($A201="","",IF($H201&lt;=0,"已回清",IF($I201="","",IF($J201=0,"未到期",IF($J201&lt;=30,"1-30天",IF($J201&lt;=60,"31-60天",IF($J201&lt;=90,"61-90天","90天以上")))))))</x:f>
      </x:c>
      <x:c r="L201" s="14" t="n"/>
      <x:c r="M201" s="14" t="n"/>
      <x:c r="N201" s="16">
        <x:f>IF($A201="","",IF($F201="","",IF($F201=0,0,$G201/$F201)))</x:f>
      </x:c>
      <x:c r="O201" s="12" t="n"/>
      <x:c r="P201" s="16">
        <x:f>IF(OR($B201="",$H201=""),"",IFERROR($H201/VLOOKUP($B201,Customers!$A$2:$J$201,10,FALSE),""))</x:f>
      </x:c>
      <x:c r="Q201" s="17">
        <x:f>IF($A201="","",IF($H201&lt;=0,"已回清",IF($J201="","",IF($J201&gt;90,"坏账风险",IF($J201&gt;60,"高风险",IF($J201&gt;30,"中风险",IF($J201&gt;0,"预警","正常")))))))</x:f>
      </x:c>
      <x:c r="R201" s="17">
        <x:f>IF($A201="","",IF($Q201="","",IF($Q201="坏账风险","法务介入 / 准备诉讼",IF($Q201="高风险","上门沟通 / 部门经理介入",IF($Q201="中风险","电话催收 / 周度跟进",IF($Q201="预警","提醒客户按期回款","持续跟踪"))))))</x:f>
      </x:c>
      <x:c r="S201" s="13" t="n"/>
      <x:c r="T201" s="12" t="n"/>
      <x:c r="U201" s="17">
        <x:f>IF($A201="","",IF($H201&lt;=0,0,IF($J201="",0,$J201*100000000+$H201*100+ROW()/1000)))</x:f>
      </x:c>
    </x:row>
  </x:sheetData>
  <x:conditionalFormatting sqref="Q2:Q201">
    <x:cfRule type="expression" dxfId="0" priority="1">
      <x:formula>$Q2="坏账风险"</x:formula>
    </x:cfRule>
    <x:cfRule type="expression" dxfId="1" priority="2">
      <x:formula>$Q2="高风险"</x:formula>
    </x:cfRule>
    <x:cfRule type="expression" dxfId="2" priority="3">
      <x:formula>$Q2="中风险"</x:formula>
    </x:cfRule>
    <x:cfRule type="expression" dxfId="3" priority="4">
      <x:formula>$Q2="预警"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0" customWidth="1"/>
    <x:col min="4" max="4" width="16" customWidth="1"/>
    <x:col min="5" max="5" width="12" customWidth="1"/>
    <x:col min="6" max="6" width="12" customWidth="1"/>
    <x:col min="7" max="7" width="10" customWidth="1"/>
    <x:col min="8" max="8" width="10" customWidth="1"/>
    <x:col min="9" max="9" width="18" customWidth="1"/>
    <x:col min="10" max="10" width="20" customWidth="1"/>
  </x:cols>
  <x:sheetData>
    <x:row r="1" ht="24" customHeight="1">
      <x:c r="A1" s="8" t="inlineStr">
        <x:is>
          <x:t xml:space="preserve">风险ID</x:t>
        </x:is>
      </x:c>
      <x:c r="B1" s="8" t="inlineStr">
        <x:is>
          <x:t xml:space="preserve">客户ID</x:t>
        </x:is>
      </x:c>
      <x:c r="C1" s="8" t="inlineStr">
        <x:is>
          <x:t xml:space="preserve">客户名称</x:t>
        </x:is>
      </x:c>
      <x:c r="D1" s="8" t="inlineStr">
        <x:is>
          <x:t xml:space="preserve">风险类型</x:t>
        </x:is>
      </x:c>
      <x:c r="E1" s="8" t="inlineStr">
        <x:is>
          <x:t xml:space="preserve">风险日期</x:t>
        </x:is>
      </x:c>
      <x:c r="F1" s="8" t="inlineStr">
        <x:is>
          <x:t xml:space="preserve">风险来源</x:t>
        </x:is>
      </x:c>
      <x:c r="G1" s="8" t="inlineStr">
        <x:is>
          <x:t xml:space="preserve">风险等级</x:t>
        </x:is>
      </x:c>
      <x:c r="H1" s="8" t="inlineStr">
        <x:is>
          <x:t xml:space="preserve">是否已处理</x:t>
        </x:is>
      </x:c>
      <x:c r="I1" s="8" t="inlineStr">
        <x:is>
          <x:t xml:space="preserve">处理动作</x:t>
        </x:is>
      </x:c>
      <x:c r="J1" s="8" t="inlineStr">
        <x:is>
          <x:t xml:space="preserve">备注</x:t>
        </x:is>
      </x:c>
    </x:row>
    <x:row r="2">
      <x:c r="A2" s="12" t="n"/>
      <x:c r="B2" s="12" t="n"/>
      <x:c r="C2" s="12" t="n"/>
      <x:c r="D2" s="12" t="n"/>
      <x:c r="E2" s="13" t="n"/>
      <x:c r="F2" s="12" t="n"/>
      <x:c r="G2" s="12" t="n"/>
      <x:c r="H2" s="12" t="n"/>
      <x:c r="I2" s="12" t="n"/>
      <x:c r="J2" s="12" t="n"/>
    </x:row>
    <x:row r="3">
      <x:c r="A3" s="12" t="n"/>
      <x:c r="B3" s="12" t="n"/>
      <x:c r="C3" s="12" t="n"/>
      <x:c r="D3" s="12" t="n"/>
      <x:c r="E3" s="13" t="n"/>
      <x:c r="F3" s="12" t="n"/>
      <x:c r="G3" s="12" t="n"/>
      <x:c r="H3" s="12" t="n"/>
      <x:c r="I3" s="12" t="n"/>
      <x:c r="J3" s="12" t="n"/>
    </x:row>
    <x:row r="4">
      <x:c r="A4" s="12" t="n"/>
      <x:c r="B4" s="12" t="n"/>
      <x:c r="C4" s="12" t="n"/>
      <x:c r="D4" s="12" t="n"/>
      <x:c r="E4" s="13" t="n"/>
      <x:c r="F4" s="12" t="n"/>
      <x:c r="G4" s="12" t="n"/>
      <x:c r="H4" s="12" t="n"/>
      <x:c r="I4" s="12" t="n"/>
      <x:c r="J4" s="12" t="n"/>
    </x:row>
    <x:row r="5">
      <x:c r="A5" s="12" t="n"/>
      <x:c r="B5" s="12" t="n"/>
      <x:c r="C5" s="12" t="n"/>
      <x:c r="D5" s="12" t="n"/>
      <x:c r="E5" s="13" t="n"/>
      <x:c r="F5" s="12" t="n"/>
      <x:c r="G5" s="12" t="n"/>
      <x:c r="H5" s="12" t="n"/>
      <x:c r="I5" s="12" t="n"/>
      <x:c r="J5" s="12" t="n"/>
    </x:row>
    <x:row r="6">
      <x:c r="A6" s="12" t="n"/>
      <x:c r="B6" s="12" t="n"/>
      <x:c r="C6" s="12" t="n"/>
      <x:c r="D6" s="12" t="n"/>
      <x:c r="E6" s="13" t="n"/>
      <x:c r="F6" s="12" t="n"/>
      <x:c r="G6" s="12" t="n"/>
      <x:c r="H6" s="12" t="n"/>
      <x:c r="I6" s="12" t="n"/>
      <x:c r="J6" s="12" t="n"/>
    </x:row>
    <x:row r="7">
      <x:c r="A7" s="12" t="n"/>
      <x:c r="B7" s="12" t="n"/>
      <x:c r="C7" s="12" t="n"/>
      <x:c r="D7" s="12" t="n"/>
      <x:c r="E7" s="13" t="n"/>
      <x:c r="F7" s="12" t="n"/>
      <x:c r="G7" s="12" t="n"/>
      <x:c r="H7" s="12" t="n"/>
      <x:c r="I7" s="12" t="n"/>
      <x:c r="J7" s="12" t="n"/>
    </x:row>
    <x:row r="8">
      <x:c r="A8" s="12" t="n"/>
      <x:c r="B8" s="12" t="n"/>
      <x:c r="C8" s="12" t="n"/>
      <x:c r="D8" s="12" t="n"/>
      <x:c r="E8" s="13" t="n"/>
      <x:c r="F8" s="12" t="n"/>
      <x:c r="G8" s="12" t="n"/>
      <x:c r="H8" s="12" t="n"/>
      <x:c r="I8" s="12" t="n"/>
      <x:c r="J8" s="12" t="n"/>
    </x:row>
    <x:row r="9">
      <x:c r="A9" s="12" t="n"/>
      <x:c r="B9" s="12" t="n"/>
      <x:c r="C9" s="12" t="n"/>
      <x:c r="D9" s="12" t="n"/>
      <x:c r="E9" s="13" t="n"/>
      <x:c r="F9" s="12" t="n"/>
      <x:c r="G9" s="12" t="n"/>
      <x:c r="H9" s="12" t="n"/>
      <x:c r="I9" s="12" t="n"/>
      <x:c r="J9" s="12" t="n"/>
    </x:row>
    <x:row r="10">
      <x:c r="A10" s="12" t="n"/>
      <x:c r="B10" s="12" t="n"/>
      <x:c r="C10" s="12" t="n"/>
      <x:c r="D10" s="12" t="n"/>
      <x:c r="E10" s="13" t="n"/>
      <x:c r="F10" s="12" t="n"/>
      <x:c r="G10" s="12" t="n"/>
      <x:c r="H10" s="12" t="n"/>
      <x:c r="I10" s="12" t="n"/>
      <x:c r="J10" s="12" t="n"/>
    </x:row>
    <x:row r="11">
      <x:c r="A11" s="12" t="n"/>
      <x:c r="B11" s="12" t="n"/>
      <x:c r="C11" s="12" t="n"/>
      <x:c r="D11" s="12" t="n"/>
      <x:c r="E11" s="13" t="n"/>
      <x:c r="F11" s="12" t="n"/>
      <x:c r="G11" s="12" t="n"/>
      <x:c r="H11" s="12" t="n"/>
      <x:c r="I11" s="12" t="n"/>
      <x:c r="J11" s="12" t="n"/>
    </x:row>
    <x:row r="12">
      <x:c r="A12" s="12" t="n"/>
      <x:c r="B12" s="12" t="n"/>
      <x:c r="C12" s="12" t="n"/>
      <x:c r="D12" s="12" t="n"/>
      <x:c r="E12" s="13" t="n"/>
      <x:c r="F12" s="12" t="n"/>
      <x:c r="G12" s="12" t="n"/>
      <x:c r="H12" s="12" t="n"/>
      <x:c r="I12" s="12" t="n"/>
      <x:c r="J12" s="12" t="n"/>
    </x:row>
    <x:row r="13">
      <x:c r="A13" s="12" t="n"/>
      <x:c r="B13" s="12" t="n"/>
      <x:c r="C13" s="12" t="n"/>
      <x:c r="D13" s="12" t="n"/>
      <x:c r="E13" s="13" t="n"/>
      <x:c r="F13" s="12" t="n"/>
      <x:c r="G13" s="12" t="n"/>
      <x:c r="H13" s="12" t="n"/>
      <x:c r="I13" s="12" t="n"/>
      <x:c r="J13" s="12" t="n"/>
    </x:row>
    <x:row r="14">
      <x:c r="A14" s="12" t="n"/>
      <x:c r="B14" s="12" t="n"/>
      <x:c r="C14" s="12" t="n"/>
      <x:c r="D14" s="12" t="n"/>
      <x:c r="E14" s="13" t="n"/>
      <x:c r="F14" s="12" t="n"/>
      <x:c r="G14" s="12" t="n"/>
      <x:c r="H14" s="12" t="n"/>
      <x:c r="I14" s="12" t="n"/>
      <x:c r="J14" s="12" t="n"/>
    </x:row>
    <x:row r="15">
      <x:c r="A15" s="12" t="n"/>
      <x:c r="B15" s="12" t="n"/>
      <x:c r="C15" s="12" t="n"/>
      <x:c r="D15" s="12" t="n"/>
      <x:c r="E15" s="13" t="n"/>
      <x:c r="F15" s="12" t="n"/>
      <x:c r="G15" s="12" t="n"/>
      <x:c r="H15" s="12" t="n"/>
      <x:c r="I15" s="12" t="n"/>
      <x:c r="J15" s="12" t="n"/>
    </x:row>
    <x:row r="16">
      <x:c r="A16" s="12" t="n"/>
      <x:c r="B16" s="12" t="n"/>
      <x:c r="C16" s="12" t="n"/>
      <x:c r="D16" s="12" t="n"/>
      <x:c r="E16" s="13" t="n"/>
      <x:c r="F16" s="12" t="n"/>
      <x:c r="G16" s="12" t="n"/>
      <x:c r="H16" s="12" t="n"/>
      <x:c r="I16" s="12" t="n"/>
      <x:c r="J16" s="12" t="n"/>
    </x:row>
    <x:row r="17">
      <x:c r="A17" s="12" t="n"/>
      <x:c r="B17" s="12" t="n"/>
      <x:c r="C17" s="12" t="n"/>
      <x:c r="D17" s="12" t="n"/>
      <x:c r="E17" s="13" t="n"/>
      <x:c r="F17" s="12" t="n"/>
      <x:c r="G17" s="12" t="n"/>
      <x:c r="H17" s="12" t="n"/>
      <x:c r="I17" s="12" t="n"/>
      <x:c r="J17" s="12" t="n"/>
    </x:row>
    <x:row r="18">
      <x:c r="A18" s="12" t="n"/>
      <x:c r="B18" s="12" t="n"/>
      <x:c r="C18" s="12" t="n"/>
      <x:c r="D18" s="12" t="n"/>
      <x:c r="E18" s="13" t="n"/>
      <x:c r="F18" s="12" t="n"/>
      <x:c r="G18" s="12" t="n"/>
      <x:c r="H18" s="12" t="n"/>
      <x:c r="I18" s="12" t="n"/>
      <x:c r="J18" s="12" t="n"/>
    </x:row>
    <x:row r="19">
      <x:c r="A19" s="12" t="n"/>
      <x:c r="B19" s="12" t="n"/>
      <x:c r="C19" s="12" t="n"/>
      <x:c r="D19" s="12" t="n"/>
      <x:c r="E19" s="13" t="n"/>
      <x:c r="F19" s="12" t="n"/>
      <x:c r="G19" s="12" t="n"/>
      <x:c r="H19" s="12" t="n"/>
      <x:c r="I19" s="12" t="n"/>
      <x:c r="J19" s="12" t="n"/>
    </x:row>
    <x:row r="20">
      <x:c r="A20" s="12" t="n"/>
      <x:c r="B20" s="12" t="n"/>
      <x:c r="C20" s="12" t="n"/>
      <x:c r="D20" s="12" t="n"/>
      <x:c r="E20" s="13" t="n"/>
      <x:c r="F20" s="12" t="n"/>
      <x:c r="G20" s="12" t="n"/>
      <x:c r="H20" s="12" t="n"/>
      <x:c r="I20" s="12" t="n"/>
      <x:c r="J20" s="12" t="n"/>
    </x:row>
    <x:row r="21">
      <x:c r="A21" s="12" t="n"/>
      <x:c r="B21" s="12" t="n"/>
      <x:c r="C21" s="12" t="n"/>
      <x:c r="D21" s="12" t="n"/>
      <x:c r="E21" s="13" t="n"/>
      <x:c r="F21" s="12" t="n"/>
      <x:c r="G21" s="12" t="n"/>
      <x:c r="H21" s="12" t="n"/>
      <x:c r="I21" s="12" t="n"/>
      <x:c r="J21" s="12" t="n"/>
    </x:row>
    <x:row r="22">
      <x:c r="A22" s="12" t="n"/>
      <x:c r="B22" s="12" t="n"/>
      <x:c r="C22" s="12" t="n"/>
      <x:c r="D22" s="12" t="n"/>
      <x:c r="E22" s="13" t="n"/>
      <x:c r="F22" s="12" t="n"/>
      <x:c r="G22" s="12" t="n"/>
      <x:c r="H22" s="12" t="n"/>
      <x:c r="I22" s="12" t="n"/>
      <x:c r="J22" s="12" t="n"/>
    </x:row>
    <x:row r="23">
      <x:c r="A23" s="12" t="n"/>
      <x:c r="B23" s="12" t="n"/>
      <x:c r="C23" s="12" t="n"/>
      <x:c r="D23" s="12" t="n"/>
      <x:c r="E23" s="13" t="n"/>
      <x:c r="F23" s="12" t="n"/>
      <x:c r="G23" s="12" t="n"/>
      <x:c r="H23" s="12" t="n"/>
      <x:c r="I23" s="12" t="n"/>
      <x:c r="J23" s="12" t="n"/>
    </x:row>
    <x:row r="24">
      <x:c r="A24" s="12" t="n"/>
      <x:c r="B24" s="12" t="n"/>
      <x:c r="C24" s="12" t="n"/>
      <x:c r="D24" s="12" t="n"/>
      <x:c r="E24" s="13" t="n"/>
      <x:c r="F24" s="12" t="n"/>
      <x:c r="G24" s="12" t="n"/>
      <x:c r="H24" s="12" t="n"/>
      <x:c r="I24" s="12" t="n"/>
      <x:c r="J24" s="12" t="n"/>
    </x:row>
    <x:row r="25">
      <x:c r="A25" s="12" t="n"/>
      <x:c r="B25" s="12" t="n"/>
      <x:c r="C25" s="12" t="n"/>
      <x:c r="D25" s="12" t="n"/>
      <x:c r="E25" s="13" t="n"/>
      <x:c r="F25" s="12" t="n"/>
      <x:c r="G25" s="12" t="n"/>
      <x:c r="H25" s="12" t="n"/>
      <x:c r="I25" s="12" t="n"/>
      <x:c r="J25" s="12" t="n"/>
    </x:row>
    <x:row r="26">
      <x:c r="A26" s="12" t="n"/>
      <x:c r="B26" s="12" t="n"/>
      <x:c r="C26" s="12" t="n"/>
      <x:c r="D26" s="12" t="n"/>
      <x:c r="E26" s="13" t="n"/>
      <x:c r="F26" s="12" t="n"/>
      <x:c r="G26" s="12" t="n"/>
      <x:c r="H26" s="12" t="n"/>
      <x:c r="I26" s="12" t="n"/>
      <x:c r="J26" s="12" t="n"/>
    </x:row>
    <x:row r="27">
      <x:c r="A27" s="12" t="n"/>
      <x:c r="B27" s="12" t="n"/>
      <x:c r="C27" s="12" t="n"/>
      <x:c r="D27" s="12" t="n"/>
      <x:c r="E27" s="13" t="n"/>
      <x:c r="F27" s="12" t="n"/>
      <x:c r="G27" s="12" t="n"/>
      <x:c r="H27" s="12" t="n"/>
      <x:c r="I27" s="12" t="n"/>
      <x:c r="J27" s="12" t="n"/>
    </x:row>
    <x:row r="28">
      <x:c r="A28" s="12" t="n"/>
      <x:c r="B28" s="12" t="n"/>
      <x:c r="C28" s="12" t="n"/>
      <x:c r="D28" s="12" t="n"/>
      <x:c r="E28" s="13" t="n"/>
      <x:c r="F28" s="12" t="n"/>
      <x:c r="G28" s="12" t="n"/>
      <x:c r="H28" s="12" t="n"/>
      <x:c r="I28" s="12" t="n"/>
      <x:c r="J28" s="12" t="n"/>
    </x:row>
    <x:row r="29">
      <x:c r="A29" s="12" t="n"/>
      <x:c r="B29" s="12" t="n"/>
      <x:c r="C29" s="12" t="n"/>
      <x:c r="D29" s="12" t="n"/>
      <x:c r="E29" s="13" t="n"/>
      <x:c r="F29" s="12" t="n"/>
      <x:c r="G29" s="12" t="n"/>
      <x:c r="H29" s="12" t="n"/>
      <x:c r="I29" s="12" t="n"/>
      <x:c r="J29" s="12" t="n"/>
    </x:row>
    <x:row r="30">
      <x:c r="A30" s="12" t="n"/>
      <x:c r="B30" s="12" t="n"/>
      <x:c r="C30" s="12" t="n"/>
      <x:c r="D30" s="12" t="n"/>
      <x:c r="E30" s="13" t="n"/>
      <x:c r="F30" s="12" t="n"/>
      <x:c r="G30" s="12" t="n"/>
      <x:c r="H30" s="12" t="n"/>
      <x:c r="I30" s="12" t="n"/>
      <x:c r="J30" s="12" t="n"/>
    </x:row>
    <x:row r="31">
      <x:c r="A31" s="12" t="n"/>
      <x:c r="B31" s="12" t="n"/>
      <x:c r="C31" s="12" t="n"/>
      <x:c r="D31" s="12" t="n"/>
      <x:c r="E31" s="13" t="n"/>
      <x:c r="F31" s="12" t="n"/>
      <x:c r="G31" s="12" t="n"/>
      <x:c r="H31" s="12" t="n"/>
      <x:c r="I31" s="12" t="n"/>
      <x:c r="J31" s="12" t="n"/>
    </x:row>
    <x:row r="32">
      <x:c r="A32" s="12" t="n"/>
      <x:c r="B32" s="12" t="n"/>
      <x:c r="C32" s="12" t="n"/>
      <x:c r="D32" s="12" t="n"/>
      <x:c r="E32" s="13" t="n"/>
      <x:c r="F32" s="12" t="n"/>
      <x:c r="G32" s="12" t="n"/>
      <x:c r="H32" s="12" t="n"/>
      <x:c r="I32" s="12" t="n"/>
      <x:c r="J32" s="12" t="n"/>
    </x:row>
    <x:row r="33">
      <x:c r="A33" s="12" t="n"/>
      <x:c r="B33" s="12" t="n"/>
      <x:c r="C33" s="12" t="n"/>
      <x:c r="D33" s="12" t="n"/>
      <x:c r="E33" s="13" t="n"/>
      <x:c r="F33" s="12" t="n"/>
      <x:c r="G33" s="12" t="n"/>
      <x:c r="H33" s="12" t="n"/>
      <x:c r="I33" s="12" t="n"/>
      <x:c r="J33" s="12" t="n"/>
    </x:row>
    <x:row r="34">
      <x:c r="A34" s="12" t="n"/>
      <x:c r="B34" s="12" t="n"/>
      <x:c r="C34" s="12" t="n"/>
      <x:c r="D34" s="12" t="n"/>
      <x:c r="E34" s="13" t="n"/>
      <x:c r="F34" s="12" t="n"/>
      <x:c r="G34" s="12" t="n"/>
      <x:c r="H34" s="12" t="n"/>
      <x:c r="I34" s="12" t="n"/>
      <x:c r="J34" s="12" t="n"/>
    </x:row>
    <x:row r="35">
      <x:c r="A35" s="12" t="n"/>
      <x:c r="B35" s="12" t="n"/>
      <x:c r="C35" s="12" t="n"/>
      <x:c r="D35" s="12" t="n"/>
      <x:c r="E35" s="13" t="n"/>
      <x:c r="F35" s="12" t="n"/>
      <x:c r="G35" s="12" t="n"/>
      <x:c r="H35" s="12" t="n"/>
      <x:c r="I35" s="12" t="n"/>
      <x:c r="J35" s="12" t="n"/>
    </x:row>
    <x:row r="36">
      <x:c r="A36" s="12" t="n"/>
      <x:c r="B36" s="12" t="n"/>
      <x:c r="C36" s="12" t="n"/>
      <x:c r="D36" s="12" t="n"/>
      <x:c r="E36" s="13" t="n"/>
      <x:c r="F36" s="12" t="n"/>
      <x:c r="G36" s="12" t="n"/>
      <x:c r="H36" s="12" t="n"/>
      <x:c r="I36" s="12" t="n"/>
      <x:c r="J36" s="12" t="n"/>
    </x:row>
    <x:row r="37">
      <x:c r="A37" s="12" t="n"/>
      <x:c r="B37" s="12" t="n"/>
      <x:c r="C37" s="12" t="n"/>
      <x:c r="D37" s="12" t="n"/>
      <x:c r="E37" s="13" t="n"/>
      <x:c r="F37" s="12" t="n"/>
      <x:c r="G37" s="12" t="n"/>
      <x:c r="H37" s="12" t="n"/>
      <x:c r="I37" s="12" t="n"/>
      <x:c r="J37" s="12" t="n"/>
    </x:row>
    <x:row r="38">
      <x:c r="A38" s="12" t="n"/>
      <x:c r="B38" s="12" t="n"/>
      <x:c r="C38" s="12" t="n"/>
      <x:c r="D38" s="12" t="n"/>
      <x:c r="E38" s="13" t="n"/>
      <x:c r="F38" s="12" t="n"/>
      <x:c r="G38" s="12" t="n"/>
      <x:c r="H38" s="12" t="n"/>
      <x:c r="I38" s="12" t="n"/>
      <x:c r="J38" s="12" t="n"/>
    </x:row>
    <x:row r="39">
      <x:c r="A39" s="12" t="n"/>
      <x:c r="B39" s="12" t="n"/>
      <x:c r="C39" s="12" t="n"/>
      <x:c r="D39" s="12" t="n"/>
      <x:c r="E39" s="13" t="n"/>
      <x:c r="F39" s="12" t="n"/>
      <x:c r="G39" s="12" t="n"/>
      <x:c r="H39" s="12" t="n"/>
      <x:c r="I39" s="12" t="n"/>
      <x:c r="J39" s="12" t="n"/>
    </x:row>
    <x:row r="40">
      <x:c r="A40" s="12" t="n"/>
      <x:c r="B40" s="12" t="n"/>
      <x:c r="C40" s="12" t="n"/>
      <x:c r="D40" s="12" t="n"/>
      <x:c r="E40" s="13" t="n"/>
      <x:c r="F40" s="12" t="n"/>
      <x:c r="G40" s="12" t="n"/>
      <x:c r="H40" s="12" t="n"/>
      <x:c r="I40" s="12" t="n"/>
      <x:c r="J40" s="12" t="n"/>
    </x:row>
    <x:row r="41">
      <x:c r="A41" s="12" t="n"/>
      <x:c r="B41" s="12" t="n"/>
      <x:c r="C41" s="12" t="n"/>
      <x:c r="D41" s="12" t="n"/>
      <x:c r="E41" s="13" t="n"/>
      <x:c r="F41" s="12" t="n"/>
      <x:c r="G41" s="12" t="n"/>
      <x:c r="H41" s="12" t="n"/>
      <x:c r="I41" s="12" t="n"/>
      <x:c r="J41" s="12" t="n"/>
    </x:row>
    <x:row r="42">
      <x:c r="A42" s="12" t="n"/>
      <x:c r="B42" s="12" t="n"/>
      <x:c r="C42" s="12" t="n"/>
      <x:c r="D42" s="12" t="n"/>
      <x:c r="E42" s="13" t="n"/>
      <x:c r="F42" s="12" t="n"/>
      <x:c r="G42" s="12" t="n"/>
      <x:c r="H42" s="12" t="n"/>
      <x:c r="I42" s="12" t="n"/>
      <x:c r="J42" s="12" t="n"/>
    </x:row>
    <x:row r="43">
      <x:c r="A43" s="12" t="n"/>
      <x:c r="B43" s="12" t="n"/>
      <x:c r="C43" s="12" t="n"/>
      <x:c r="D43" s="12" t="n"/>
      <x:c r="E43" s="13" t="n"/>
      <x:c r="F43" s="12" t="n"/>
      <x:c r="G43" s="12" t="n"/>
      <x:c r="H43" s="12" t="n"/>
      <x:c r="I43" s="12" t="n"/>
      <x:c r="J43" s="12" t="n"/>
    </x:row>
    <x:row r="44">
      <x:c r="A44" s="12" t="n"/>
      <x:c r="B44" s="12" t="n"/>
      <x:c r="C44" s="12" t="n"/>
      <x:c r="D44" s="12" t="n"/>
      <x:c r="E44" s="13" t="n"/>
      <x:c r="F44" s="12" t="n"/>
      <x:c r="G44" s="12" t="n"/>
      <x:c r="H44" s="12" t="n"/>
      <x:c r="I44" s="12" t="n"/>
      <x:c r="J44" s="12" t="n"/>
    </x:row>
    <x:row r="45">
      <x:c r="A45" s="12" t="n"/>
      <x:c r="B45" s="12" t="n"/>
      <x:c r="C45" s="12" t="n"/>
      <x:c r="D45" s="12" t="n"/>
      <x:c r="E45" s="13" t="n"/>
      <x:c r="F45" s="12" t="n"/>
      <x:c r="G45" s="12" t="n"/>
      <x:c r="H45" s="12" t="n"/>
      <x:c r="I45" s="12" t="n"/>
      <x:c r="J45" s="12" t="n"/>
    </x:row>
    <x:row r="46">
      <x:c r="A46" s="12" t="n"/>
      <x:c r="B46" s="12" t="n"/>
      <x:c r="C46" s="12" t="n"/>
      <x:c r="D46" s="12" t="n"/>
      <x:c r="E46" s="13" t="n"/>
      <x:c r="F46" s="12" t="n"/>
      <x:c r="G46" s="12" t="n"/>
      <x:c r="H46" s="12" t="n"/>
      <x:c r="I46" s="12" t="n"/>
      <x:c r="J46" s="12" t="n"/>
    </x:row>
    <x:row r="47">
      <x:c r="A47" s="12" t="n"/>
      <x:c r="B47" s="12" t="n"/>
      <x:c r="C47" s="12" t="n"/>
      <x:c r="D47" s="12" t="n"/>
      <x:c r="E47" s="13" t="n"/>
      <x:c r="F47" s="12" t="n"/>
      <x:c r="G47" s="12" t="n"/>
      <x:c r="H47" s="12" t="n"/>
      <x:c r="I47" s="12" t="n"/>
      <x:c r="J47" s="12" t="n"/>
    </x:row>
    <x:row r="48">
      <x:c r="A48" s="12" t="n"/>
      <x:c r="B48" s="12" t="n"/>
      <x:c r="C48" s="12" t="n"/>
      <x:c r="D48" s="12" t="n"/>
      <x:c r="E48" s="13" t="n"/>
      <x:c r="F48" s="12" t="n"/>
      <x:c r="G48" s="12" t="n"/>
      <x:c r="H48" s="12" t="n"/>
      <x:c r="I48" s="12" t="n"/>
      <x:c r="J48" s="12" t="n"/>
    </x:row>
    <x:row r="49">
      <x:c r="A49" s="12" t="n"/>
      <x:c r="B49" s="12" t="n"/>
      <x:c r="C49" s="12" t="n"/>
      <x:c r="D49" s="12" t="n"/>
      <x:c r="E49" s="13" t="n"/>
      <x:c r="F49" s="12" t="n"/>
      <x:c r="G49" s="12" t="n"/>
      <x:c r="H49" s="12" t="n"/>
      <x:c r="I49" s="12" t="n"/>
      <x:c r="J49" s="12" t="n"/>
    </x:row>
    <x:row r="50">
      <x:c r="A50" s="12" t="n"/>
      <x:c r="B50" s="12" t="n"/>
      <x:c r="C50" s="12" t="n"/>
      <x:c r="D50" s="12" t="n"/>
      <x:c r="E50" s="13" t="n"/>
      <x:c r="F50" s="12" t="n"/>
      <x:c r="G50" s="12" t="n"/>
      <x:c r="H50" s="12" t="n"/>
      <x:c r="I50" s="12" t="n"/>
      <x:c r="J50" s="12" t="n"/>
    </x:row>
    <x:row r="51">
      <x:c r="A51" s="12" t="n"/>
      <x:c r="B51" s="12" t="n"/>
      <x:c r="C51" s="12" t="n"/>
      <x:c r="D51" s="12" t="n"/>
      <x:c r="E51" s="13" t="n"/>
      <x:c r="F51" s="12" t="n"/>
      <x:c r="G51" s="12" t="n"/>
      <x:c r="H51" s="12" t="n"/>
      <x:c r="I51" s="12" t="n"/>
      <x:c r="J51" s="12" t="n"/>
    </x:row>
    <x:row r="52">
      <x:c r="A52" s="12" t="n"/>
      <x:c r="B52" s="12" t="n"/>
      <x:c r="C52" s="12" t="n"/>
      <x:c r="D52" s="12" t="n"/>
      <x:c r="E52" s="13" t="n"/>
      <x:c r="F52" s="12" t="n"/>
      <x:c r="G52" s="12" t="n"/>
      <x:c r="H52" s="12" t="n"/>
      <x:c r="I52" s="12" t="n"/>
      <x:c r="J52" s="12" t="n"/>
    </x:row>
    <x:row r="53">
      <x:c r="A53" s="12" t="n"/>
      <x:c r="B53" s="12" t="n"/>
      <x:c r="C53" s="12" t="n"/>
      <x:c r="D53" s="12" t="n"/>
      <x:c r="E53" s="13" t="n"/>
      <x:c r="F53" s="12" t="n"/>
      <x:c r="G53" s="12" t="n"/>
      <x:c r="H53" s="12" t="n"/>
      <x:c r="I53" s="12" t="n"/>
      <x:c r="J53" s="12" t="n"/>
    </x:row>
    <x:row r="54">
      <x:c r="A54" s="12" t="n"/>
      <x:c r="B54" s="12" t="n"/>
      <x:c r="C54" s="12" t="n"/>
      <x:c r="D54" s="12" t="n"/>
      <x:c r="E54" s="13" t="n"/>
      <x:c r="F54" s="12" t="n"/>
      <x:c r="G54" s="12" t="n"/>
      <x:c r="H54" s="12" t="n"/>
      <x:c r="I54" s="12" t="n"/>
      <x:c r="J54" s="12" t="n"/>
    </x:row>
    <x:row r="55">
      <x:c r="A55" s="12" t="n"/>
      <x:c r="B55" s="12" t="n"/>
      <x:c r="C55" s="12" t="n"/>
      <x:c r="D55" s="12" t="n"/>
      <x:c r="E55" s="13" t="n"/>
      <x:c r="F55" s="12" t="n"/>
      <x:c r="G55" s="12" t="n"/>
      <x:c r="H55" s="12" t="n"/>
      <x:c r="I55" s="12" t="n"/>
      <x:c r="J55" s="12" t="n"/>
    </x:row>
    <x:row r="56">
      <x:c r="A56" s="12" t="n"/>
      <x:c r="B56" s="12" t="n"/>
      <x:c r="C56" s="12" t="n"/>
      <x:c r="D56" s="12" t="n"/>
      <x:c r="E56" s="13" t="n"/>
      <x:c r="F56" s="12" t="n"/>
      <x:c r="G56" s="12" t="n"/>
      <x:c r="H56" s="12" t="n"/>
      <x:c r="I56" s="12" t="n"/>
      <x:c r="J56" s="12" t="n"/>
    </x:row>
    <x:row r="57">
      <x:c r="A57" s="12" t="n"/>
      <x:c r="B57" s="12" t="n"/>
      <x:c r="C57" s="12" t="n"/>
      <x:c r="D57" s="12" t="n"/>
      <x:c r="E57" s="13" t="n"/>
      <x:c r="F57" s="12" t="n"/>
      <x:c r="G57" s="12" t="n"/>
      <x:c r="H57" s="12" t="n"/>
      <x:c r="I57" s="12" t="n"/>
      <x:c r="J57" s="12" t="n"/>
    </x:row>
    <x:row r="58">
      <x:c r="A58" s="12" t="n"/>
      <x:c r="B58" s="12" t="n"/>
      <x:c r="C58" s="12" t="n"/>
      <x:c r="D58" s="12" t="n"/>
      <x:c r="E58" s="13" t="n"/>
      <x:c r="F58" s="12" t="n"/>
      <x:c r="G58" s="12" t="n"/>
      <x:c r="H58" s="12" t="n"/>
      <x:c r="I58" s="12" t="n"/>
      <x:c r="J58" s="12" t="n"/>
    </x:row>
    <x:row r="59">
      <x:c r="A59" s="12" t="n"/>
      <x:c r="B59" s="12" t="n"/>
      <x:c r="C59" s="12" t="n"/>
      <x:c r="D59" s="12" t="n"/>
      <x:c r="E59" s="13" t="n"/>
      <x:c r="F59" s="12" t="n"/>
      <x:c r="G59" s="12" t="n"/>
      <x:c r="H59" s="12" t="n"/>
      <x:c r="I59" s="12" t="n"/>
      <x:c r="J59" s="12" t="n"/>
    </x:row>
    <x:row r="60">
      <x:c r="A60" s="12" t="n"/>
      <x:c r="B60" s="12" t="n"/>
      <x:c r="C60" s="12" t="n"/>
      <x:c r="D60" s="12" t="n"/>
      <x:c r="E60" s="13" t="n"/>
      <x:c r="F60" s="12" t="n"/>
      <x:c r="G60" s="12" t="n"/>
      <x:c r="H60" s="12" t="n"/>
      <x:c r="I60" s="12" t="n"/>
      <x:c r="J60" s="12" t="n"/>
    </x:row>
    <x:row r="61">
      <x:c r="A61" s="12" t="n"/>
      <x:c r="B61" s="12" t="n"/>
      <x:c r="C61" s="12" t="n"/>
      <x:c r="D61" s="12" t="n"/>
      <x:c r="E61" s="13" t="n"/>
      <x:c r="F61" s="12" t="n"/>
      <x:c r="G61" s="12" t="n"/>
      <x:c r="H61" s="12" t="n"/>
      <x:c r="I61" s="12" t="n"/>
      <x:c r="J61" s="12" t="n"/>
    </x:row>
    <x:row r="62">
      <x:c r="A62" s="12" t="n"/>
      <x:c r="B62" s="12" t="n"/>
      <x:c r="C62" s="12" t="n"/>
      <x:c r="D62" s="12" t="n"/>
      <x:c r="E62" s="13" t="n"/>
      <x:c r="F62" s="12" t="n"/>
      <x:c r="G62" s="12" t="n"/>
      <x:c r="H62" s="12" t="n"/>
      <x:c r="I62" s="12" t="n"/>
      <x:c r="J62" s="12" t="n"/>
    </x:row>
    <x:row r="63">
      <x:c r="A63" s="12" t="n"/>
      <x:c r="B63" s="12" t="n"/>
      <x:c r="C63" s="12" t="n"/>
      <x:c r="D63" s="12" t="n"/>
      <x:c r="E63" s="13" t="n"/>
      <x:c r="F63" s="12" t="n"/>
      <x:c r="G63" s="12" t="n"/>
      <x:c r="H63" s="12" t="n"/>
      <x:c r="I63" s="12" t="n"/>
      <x:c r="J63" s="12" t="n"/>
    </x:row>
    <x:row r="64">
      <x:c r="A64" s="12" t="n"/>
      <x:c r="B64" s="12" t="n"/>
      <x:c r="C64" s="12" t="n"/>
      <x:c r="D64" s="12" t="n"/>
      <x:c r="E64" s="13" t="n"/>
      <x:c r="F64" s="12" t="n"/>
      <x:c r="G64" s="12" t="n"/>
      <x:c r="H64" s="12" t="n"/>
      <x:c r="I64" s="12" t="n"/>
      <x:c r="J64" s="12" t="n"/>
    </x:row>
    <x:row r="65">
      <x:c r="A65" s="12" t="n"/>
      <x:c r="B65" s="12" t="n"/>
      <x:c r="C65" s="12" t="n"/>
      <x:c r="D65" s="12" t="n"/>
      <x:c r="E65" s="13" t="n"/>
      <x:c r="F65" s="12" t="n"/>
      <x:c r="G65" s="12" t="n"/>
      <x:c r="H65" s="12" t="n"/>
      <x:c r="I65" s="12" t="n"/>
      <x:c r="J65" s="12" t="n"/>
    </x:row>
    <x:row r="66">
      <x:c r="A66" s="12" t="n"/>
      <x:c r="B66" s="12" t="n"/>
      <x:c r="C66" s="12" t="n"/>
      <x:c r="D66" s="12" t="n"/>
      <x:c r="E66" s="13" t="n"/>
      <x:c r="F66" s="12" t="n"/>
      <x:c r="G66" s="12" t="n"/>
      <x:c r="H66" s="12" t="n"/>
      <x:c r="I66" s="12" t="n"/>
      <x:c r="J66" s="12" t="n"/>
    </x:row>
    <x:row r="67">
      <x:c r="A67" s="12" t="n"/>
      <x:c r="B67" s="12" t="n"/>
      <x:c r="C67" s="12" t="n"/>
      <x:c r="D67" s="12" t="n"/>
      <x:c r="E67" s="13" t="n"/>
      <x:c r="F67" s="12" t="n"/>
      <x:c r="G67" s="12" t="n"/>
      <x:c r="H67" s="12" t="n"/>
      <x:c r="I67" s="12" t="n"/>
      <x:c r="J67" s="12" t="n"/>
    </x:row>
    <x:row r="68">
      <x:c r="A68" s="12" t="n"/>
      <x:c r="B68" s="12" t="n"/>
      <x:c r="C68" s="12" t="n"/>
      <x:c r="D68" s="12" t="n"/>
      <x:c r="E68" s="13" t="n"/>
      <x:c r="F68" s="12" t="n"/>
      <x:c r="G68" s="12" t="n"/>
      <x:c r="H68" s="12" t="n"/>
      <x:c r="I68" s="12" t="n"/>
      <x:c r="J68" s="12" t="n"/>
    </x:row>
    <x:row r="69">
      <x:c r="A69" s="12" t="n"/>
      <x:c r="B69" s="12" t="n"/>
      <x:c r="C69" s="12" t="n"/>
      <x:c r="D69" s="12" t="n"/>
      <x:c r="E69" s="13" t="n"/>
      <x:c r="F69" s="12" t="n"/>
      <x:c r="G69" s="12" t="n"/>
      <x:c r="H69" s="12" t="n"/>
      <x:c r="I69" s="12" t="n"/>
      <x:c r="J69" s="12" t="n"/>
    </x:row>
    <x:row r="70">
      <x:c r="A70" s="12" t="n"/>
      <x:c r="B70" s="12" t="n"/>
      <x:c r="C70" s="12" t="n"/>
      <x:c r="D70" s="12" t="n"/>
      <x:c r="E70" s="13" t="n"/>
      <x:c r="F70" s="12" t="n"/>
      <x:c r="G70" s="12" t="n"/>
      <x:c r="H70" s="12" t="n"/>
      <x:c r="I70" s="12" t="n"/>
      <x:c r="J70" s="12" t="n"/>
    </x:row>
    <x:row r="71">
      <x:c r="A71" s="12" t="n"/>
      <x:c r="B71" s="12" t="n"/>
      <x:c r="C71" s="12" t="n"/>
      <x:c r="D71" s="12" t="n"/>
      <x:c r="E71" s="13" t="n"/>
      <x:c r="F71" s="12" t="n"/>
      <x:c r="G71" s="12" t="n"/>
      <x:c r="H71" s="12" t="n"/>
      <x:c r="I71" s="12" t="n"/>
      <x:c r="J71" s="12" t="n"/>
    </x:row>
    <x:row r="72">
      <x:c r="A72" s="12" t="n"/>
      <x:c r="B72" s="12" t="n"/>
      <x:c r="C72" s="12" t="n"/>
      <x:c r="D72" s="12" t="n"/>
      <x:c r="E72" s="13" t="n"/>
      <x:c r="F72" s="12" t="n"/>
      <x:c r="G72" s="12" t="n"/>
      <x:c r="H72" s="12" t="n"/>
      <x:c r="I72" s="12" t="n"/>
      <x:c r="J72" s="12" t="n"/>
    </x:row>
    <x:row r="73">
      <x:c r="A73" s="12" t="n"/>
      <x:c r="B73" s="12" t="n"/>
      <x:c r="C73" s="12" t="n"/>
      <x:c r="D73" s="12" t="n"/>
      <x:c r="E73" s="13" t="n"/>
      <x:c r="F73" s="12" t="n"/>
      <x:c r="G73" s="12" t="n"/>
      <x:c r="H73" s="12" t="n"/>
      <x:c r="I73" s="12" t="n"/>
      <x:c r="J73" s="12" t="n"/>
    </x:row>
    <x:row r="74">
      <x:c r="A74" s="12" t="n"/>
      <x:c r="B74" s="12" t="n"/>
      <x:c r="C74" s="12" t="n"/>
      <x:c r="D74" s="12" t="n"/>
      <x:c r="E74" s="13" t="n"/>
      <x:c r="F74" s="12" t="n"/>
      <x:c r="G74" s="12" t="n"/>
      <x:c r="H74" s="12" t="n"/>
      <x:c r="I74" s="12" t="n"/>
      <x:c r="J74" s="12" t="n"/>
    </x:row>
    <x:row r="75">
      <x:c r="A75" s="12" t="n"/>
      <x:c r="B75" s="12" t="n"/>
      <x:c r="C75" s="12" t="n"/>
      <x:c r="D75" s="12" t="n"/>
      <x:c r="E75" s="13" t="n"/>
      <x:c r="F75" s="12" t="n"/>
      <x:c r="G75" s="12" t="n"/>
      <x:c r="H75" s="12" t="n"/>
      <x:c r="I75" s="12" t="n"/>
      <x:c r="J75" s="12" t="n"/>
    </x:row>
    <x:row r="76">
      <x:c r="A76" s="12" t="n"/>
      <x:c r="B76" s="12" t="n"/>
      <x:c r="C76" s="12" t="n"/>
      <x:c r="D76" s="12" t="n"/>
      <x:c r="E76" s="13" t="n"/>
      <x:c r="F76" s="12" t="n"/>
      <x:c r="G76" s="12" t="n"/>
      <x:c r="H76" s="12" t="n"/>
      <x:c r="I76" s="12" t="n"/>
      <x:c r="J76" s="12" t="n"/>
    </x:row>
    <x:row r="77">
      <x:c r="A77" s="12" t="n"/>
      <x:c r="B77" s="12" t="n"/>
      <x:c r="C77" s="12" t="n"/>
      <x:c r="D77" s="12" t="n"/>
      <x:c r="E77" s="13" t="n"/>
      <x:c r="F77" s="12" t="n"/>
      <x:c r="G77" s="12" t="n"/>
      <x:c r="H77" s="12" t="n"/>
      <x:c r="I77" s="12" t="n"/>
      <x:c r="J77" s="12" t="n"/>
    </x:row>
    <x:row r="78">
      <x:c r="A78" s="12" t="n"/>
      <x:c r="B78" s="12" t="n"/>
      <x:c r="C78" s="12" t="n"/>
      <x:c r="D78" s="12" t="n"/>
      <x:c r="E78" s="13" t="n"/>
      <x:c r="F78" s="12" t="n"/>
      <x:c r="G78" s="12" t="n"/>
      <x:c r="H78" s="12" t="n"/>
      <x:c r="I78" s="12" t="n"/>
      <x:c r="J78" s="12" t="n"/>
    </x:row>
    <x:row r="79">
      <x:c r="A79" s="12" t="n"/>
      <x:c r="B79" s="12" t="n"/>
      <x:c r="C79" s="12" t="n"/>
      <x:c r="D79" s="12" t="n"/>
      <x:c r="E79" s="13" t="n"/>
      <x:c r="F79" s="12" t="n"/>
      <x:c r="G79" s="12" t="n"/>
      <x:c r="H79" s="12" t="n"/>
      <x:c r="I79" s="12" t="n"/>
      <x:c r="J79" s="12" t="n"/>
    </x:row>
    <x:row r="80">
      <x:c r="A80" s="12" t="n"/>
      <x:c r="B80" s="12" t="n"/>
      <x:c r="C80" s="12" t="n"/>
      <x:c r="D80" s="12" t="n"/>
      <x:c r="E80" s="13" t="n"/>
      <x:c r="F80" s="12" t="n"/>
      <x:c r="G80" s="12" t="n"/>
      <x:c r="H80" s="12" t="n"/>
      <x:c r="I80" s="12" t="n"/>
      <x:c r="J80" s="12" t="n"/>
    </x:row>
    <x:row r="81">
      <x:c r="A81" s="12" t="n"/>
      <x:c r="B81" s="12" t="n"/>
      <x:c r="C81" s="12" t="n"/>
      <x:c r="D81" s="12" t="n"/>
      <x:c r="E81" s="13" t="n"/>
      <x:c r="F81" s="12" t="n"/>
      <x:c r="G81" s="12" t="n"/>
      <x:c r="H81" s="12" t="n"/>
      <x:c r="I81" s="12" t="n"/>
      <x:c r="J81" s="12" t="n"/>
    </x:row>
    <x:row r="82">
      <x:c r="A82" s="12" t="n"/>
      <x:c r="B82" s="12" t="n"/>
      <x:c r="C82" s="12" t="n"/>
      <x:c r="D82" s="12" t="n"/>
      <x:c r="E82" s="13" t="n"/>
      <x:c r="F82" s="12" t="n"/>
      <x:c r="G82" s="12" t="n"/>
      <x:c r="H82" s="12" t="n"/>
      <x:c r="I82" s="12" t="n"/>
      <x:c r="J82" s="12" t="n"/>
    </x:row>
    <x:row r="83">
      <x:c r="A83" s="12" t="n"/>
      <x:c r="B83" s="12" t="n"/>
      <x:c r="C83" s="12" t="n"/>
      <x:c r="D83" s="12" t="n"/>
      <x:c r="E83" s="13" t="n"/>
      <x:c r="F83" s="12" t="n"/>
      <x:c r="G83" s="12" t="n"/>
      <x:c r="H83" s="12" t="n"/>
      <x:c r="I83" s="12" t="n"/>
      <x:c r="J83" s="12" t="n"/>
    </x:row>
    <x:row r="84">
      <x:c r="A84" s="12" t="n"/>
      <x:c r="B84" s="12" t="n"/>
      <x:c r="C84" s="12" t="n"/>
      <x:c r="D84" s="12" t="n"/>
      <x:c r="E84" s="13" t="n"/>
      <x:c r="F84" s="12" t="n"/>
      <x:c r="G84" s="12" t="n"/>
      <x:c r="H84" s="12" t="n"/>
      <x:c r="I84" s="12" t="n"/>
      <x:c r="J84" s="12" t="n"/>
    </x:row>
    <x:row r="85">
      <x:c r="A85" s="12" t="n"/>
      <x:c r="B85" s="12" t="n"/>
      <x:c r="C85" s="12" t="n"/>
      <x:c r="D85" s="12" t="n"/>
      <x:c r="E85" s="13" t="n"/>
      <x:c r="F85" s="12" t="n"/>
      <x:c r="G85" s="12" t="n"/>
      <x:c r="H85" s="12" t="n"/>
      <x:c r="I85" s="12" t="n"/>
      <x:c r="J85" s="12" t="n"/>
    </x:row>
    <x:row r="86">
      <x:c r="A86" s="12" t="n"/>
      <x:c r="B86" s="12" t="n"/>
      <x:c r="C86" s="12" t="n"/>
      <x:c r="D86" s="12" t="n"/>
      <x:c r="E86" s="13" t="n"/>
      <x:c r="F86" s="12" t="n"/>
      <x:c r="G86" s="12" t="n"/>
      <x:c r="H86" s="12" t="n"/>
      <x:c r="I86" s="12" t="n"/>
      <x:c r="J86" s="12" t="n"/>
    </x:row>
    <x:row r="87">
      <x:c r="A87" s="12" t="n"/>
      <x:c r="B87" s="12" t="n"/>
      <x:c r="C87" s="12" t="n"/>
      <x:c r="D87" s="12" t="n"/>
      <x:c r="E87" s="13" t="n"/>
      <x:c r="F87" s="12" t="n"/>
      <x:c r="G87" s="12" t="n"/>
      <x:c r="H87" s="12" t="n"/>
      <x:c r="I87" s="12" t="n"/>
      <x:c r="J87" s="12" t="n"/>
    </x:row>
    <x:row r="88">
      <x:c r="A88" s="12" t="n"/>
      <x:c r="B88" s="12" t="n"/>
      <x:c r="C88" s="12" t="n"/>
      <x:c r="D88" s="12" t="n"/>
      <x:c r="E88" s="13" t="n"/>
      <x:c r="F88" s="12" t="n"/>
      <x:c r="G88" s="12" t="n"/>
      <x:c r="H88" s="12" t="n"/>
      <x:c r="I88" s="12" t="n"/>
      <x:c r="J88" s="12" t="n"/>
    </x:row>
    <x:row r="89">
      <x:c r="A89" s="12" t="n"/>
      <x:c r="B89" s="12" t="n"/>
      <x:c r="C89" s="12" t="n"/>
      <x:c r="D89" s="12" t="n"/>
      <x:c r="E89" s="13" t="n"/>
      <x:c r="F89" s="12" t="n"/>
      <x:c r="G89" s="12" t="n"/>
      <x:c r="H89" s="12" t="n"/>
      <x:c r="I89" s="12" t="n"/>
      <x:c r="J89" s="12" t="n"/>
    </x:row>
    <x:row r="90">
      <x:c r="A90" s="12" t="n"/>
      <x:c r="B90" s="12" t="n"/>
      <x:c r="C90" s="12" t="n"/>
      <x:c r="D90" s="12" t="n"/>
      <x:c r="E90" s="13" t="n"/>
      <x:c r="F90" s="12" t="n"/>
      <x:c r="G90" s="12" t="n"/>
      <x:c r="H90" s="12" t="n"/>
      <x:c r="I90" s="12" t="n"/>
      <x:c r="J90" s="12" t="n"/>
    </x:row>
    <x:row r="91">
      <x:c r="A91" s="12" t="n"/>
      <x:c r="B91" s="12" t="n"/>
      <x:c r="C91" s="12" t="n"/>
      <x:c r="D91" s="12" t="n"/>
      <x:c r="E91" s="13" t="n"/>
      <x:c r="F91" s="12" t="n"/>
      <x:c r="G91" s="12" t="n"/>
      <x:c r="H91" s="12" t="n"/>
      <x:c r="I91" s="12" t="n"/>
      <x:c r="J91" s="12" t="n"/>
    </x:row>
    <x:row r="92">
      <x:c r="A92" s="12" t="n"/>
      <x:c r="B92" s="12" t="n"/>
      <x:c r="C92" s="12" t="n"/>
      <x:c r="D92" s="12" t="n"/>
      <x:c r="E92" s="13" t="n"/>
      <x:c r="F92" s="12" t="n"/>
      <x:c r="G92" s="12" t="n"/>
      <x:c r="H92" s="12" t="n"/>
      <x:c r="I92" s="12" t="n"/>
      <x:c r="J92" s="12" t="n"/>
    </x:row>
    <x:row r="93">
      <x:c r="A93" s="12" t="n"/>
      <x:c r="B93" s="12" t="n"/>
      <x:c r="C93" s="12" t="n"/>
      <x:c r="D93" s="12" t="n"/>
      <x:c r="E93" s="13" t="n"/>
      <x:c r="F93" s="12" t="n"/>
      <x:c r="G93" s="12" t="n"/>
      <x:c r="H93" s="12" t="n"/>
      <x:c r="I93" s="12" t="n"/>
      <x:c r="J93" s="12" t="n"/>
    </x:row>
    <x:row r="94">
      <x:c r="A94" s="12" t="n"/>
      <x:c r="B94" s="12" t="n"/>
      <x:c r="C94" s="12" t="n"/>
      <x:c r="D94" s="12" t="n"/>
      <x:c r="E94" s="13" t="n"/>
      <x:c r="F94" s="12" t="n"/>
      <x:c r="G94" s="12" t="n"/>
      <x:c r="H94" s="12" t="n"/>
      <x:c r="I94" s="12" t="n"/>
      <x:c r="J94" s="12" t="n"/>
    </x:row>
    <x:row r="95">
      <x:c r="A95" s="12" t="n"/>
      <x:c r="B95" s="12" t="n"/>
      <x:c r="C95" s="12" t="n"/>
      <x:c r="D95" s="12" t="n"/>
      <x:c r="E95" s="13" t="n"/>
      <x:c r="F95" s="12" t="n"/>
      <x:c r="G95" s="12" t="n"/>
      <x:c r="H95" s="12" t="n"/>
      <x:c r="I95" s="12" t="n"/>
      <x:c r="J95" s="12" t="n"/>
    </x:row>
    <x:row r="96">
      <x:c r="A96" s="12" t="n"/>
      <x:c r="B96" s="12" t="n"/>
      <x:c r="C96" s="12" t="n"/>
      <x:c r="D96" s="12" t="n"/>
      <x:c r="E96" s="13" t="n"/>
      <x:c r="F96" s="12" t="n"/>
      <x:c r="G96" s="12" t="n"/>
      <x:c r="H96" s="12" t="n"/>
      <x:c r="I96" s="12" t="n"/>
      <x:c r="J96" s="12" t="n"/>
    </x:row>
    <x:row r="97">
      <x:c r="A97" s="12" t="n"/>
      <x:c r="B97" s="12" t="n"/>
      <x:c r="C97" s="12" t="n"/>
      <x:c r="D97" s="12" t="n"/>
      <x:c r="E97" s="13" t="n"/>
      <x:c r="F97" s="12" t="n"/>
      <x:c r="G97" s="12" t="n"/>
      <x:c r="H97" s="12" t="n"/>
      <x:c r="I97" s="12" t="n"/>
      <x:c r="J97" s="12" t="n"/>
    </x:row>
    <x:row r="98">
      <x:c r="A98" s="12" t="n"/>
      <x:c r="B98" s="12" t="n"/>
      <x:c r="C98" s="12" t="n"/>
      <x:c r="D98" s="12" t="n"/>
      <x:c r="E98" s="13" t="n"/>
      <x:c r="F98" s="12" t="n"/>
      <x:c r="G98" s="12" t="n"/>
      <x:c r="H98" s="12" t="n"/>
      <x:c r="I98" s="12" t="n"/>
      <x:c r="J98" s="12" t="n"/>
    </x:row>
    <x:row r="99">
      <x:c r="A99" s="12" t="n"/>
      <x:c r="B99" s="12" t="n"/>
      <x:c r="C99" s="12" t="n"/>
      <x:c r="D99" s="12" t="n"/>
      <x:c r="E99" s="13" t="n"/>
      <x:c r="F99" s="12" t="n"/>
      <x:c r="G99" s="12" t="n"/>
      <x:c r="H99" s="12" t="n"/>
      <x:c r="I99" s="12" t="n"/>
      <x:c r="J99" s="12" t="n"/>
    </x:row>
    <x:row r="100">
      <x:c r="A100" s="12" t="n"/>
      <x:c r="B100" s="12" t="n"/>
      <x:c r="C100" s="12" t="n"/>
      <x:c r="D100" s="12" t="n"/>
      <x:c r="E100" s="13" t="n"/>
      <x:c r="F100" s="12" t="n"/>
      <x:c r="G100" s="12" t="n"/>
      <x:c r="H100" s="12" t="n"/>
      <x:c r="I100" s="12" t="n"/>
      <x:c r="J100" s="12" t="n"/>
    </x:row>
    <x:row r="101">
      <x:c r="A101" s="12" t="n"/>
      <x:c r="B101" s="12" t="n"/>
      <x:c r="C101" s="12" t="n"/>
      <x:c r="D101" s="12" t="n"/>
      <x:c r="E101" s="13" t="n"/>
      <x:c r="F101" s="12" t="n"/>
      <x:c r="G101" s="12" t="n"/>
      <x:c r="H101" s="12" t="n"/>
      <x:c r="I101" s="12" t="n"/>
      <x:c r="J101" s="12" t="n"/>
    </x:row>
    <x:row r="102">
      <x:c r="A102" s="12" t="n"/>
      <x:c r="B102" s="12" t="n"/>
      <x:c r="C102" s="12" t="n"/>
      <x:c r="D102" s="12" t="n"/>
      <x:c r="E102" s="13" t="n"/>
      <x:c r="F102" s="12" t="n"/>
      <x:c r="G102" s="12" t="n"/>
      <x:c r="H102" s="12" t="n"/>
      <x:c r="I102" s="12" t="n"/>
      <x:c r="J102" s="12" t="n"/>
    </x:row>
    <x:row r="103">
      <x:c r="A103" s="12" t="n"/>
      <x:c r="B103" s="12" t="n"/>
      <x:c r="C103" s="12" t="n"/>
      <x:c r="D103" s="12" t="n"/>
      <x:c r="E103" s="13" t="n"/>
      <x:c r="F103" s="12" t="n"/>
      <x:c r="G103" s="12" t="n"/>
      <x:c r="H103" s="12" t="n"/>
      <x:c r="I103" s="12" t="n"/>
      <x:c r="J103" s="12" t="n"/>
    </x:row>
    <x:row r="104">
      <x:c r="A104" s="12" t="n"/>
      <x:c r="B104" s="12" t="n"/>
      <x:c r="C104" s="12" t="n"/>
      <x:c r="D104" s="12" t="n"/>
      <x:c r="E104" s="13" t="n"/>
      <x:c r="F104" s="12" t="n"/>
      <x:c r="G104" s="12" t="n"/>
      <x:c r="H104" s="12" t="n"/>
      <x:c r="I104" s="12" t="n"/>
      <x:c r="J104" s="12" t="n"/>
    </x:row>
    <x:row r="105">
      <x:c r="A105" s="12" t="n"/>
      <x:c r="B105" s="12" t="n"/>
      <x:c r="C105" s="12" t="n"/>
      <x:c r="D105" s="12" t="n"/>
      <x:c r="E105" s="13" t="n"/>
      <x:c r="F105" s="12" t="n"/>
      <x:c r="G105" s="12" t="n"/>
      <x:c r="H105" s="12" t="n"/>
      <x:c r="I105" s="12" t="n"/>
      <x:c r="J105" s="12" t="n"/>
    </x:row>
    <x:row r="106">
      <x:c r="A106" s="12" t="n"/>
      <x:c r="B106" s="12" t="n"/>
      <x:c r="C106" s="12" t="n"/>
      <x:c r="D106" s="12" t="n"/>
      <x:c r="E106" s="13" t="n"/>
      <x:c r="F106" s="12" t="n"/>
      <x:c r="G106" s="12" t="n"/>
      <x:c r="H106" s="12" t="n"/>
      <x:c r="I106" s="12" t="n"/>
      <x:c r="J106" s="12" t="n"/>
    </x:row>
    <x:row r="107">
      <x:c r="A107" s="12" t="n"/>
      <x:c r="B107" s="12" t="n"/>
      <x:c r="C107" s="12" t="n"/>
      <x:c r="D107" s="12" t="n"/>
      <x:c r="E107" s="13" t="n"/>
      <x:c r="F107" s="12" t="n"/>
      <x:c r="G107" s="12" t="n"/>
      <x:c r="H107" s="12" t="n"/>
      <x:c r="I107" s="12" t="n"/>
      <x:c r="J107" s="12" t="n"/>
    </x:row>
    <x:row r="108">
      <x:c r="A108" s="12" t="n"/>
      <x:c r="B108" s="12" t="n"/>
      <x:c r="C108" s="12" t="n"/>
      <x:c r="D108" s="12" t="n"/>
      <x:c r="E108" s="13" t="n"/>
      <x:c r="F108" s="12" t="n"/>
      <x:c r="G108" s="12" t="n"/>
      <x:c r="H108" s="12" t="n"/>
      <x:c r="I108" s="12" t="n"/>
      <x:c r="J108" s="12" t="n"/>
    </x:row>
    <x:row r="109">
      <x:c r="A109" s="12" t="n"/>
      <x:c r="B109" s="12" t="n"/>
      <x:c r="C109" s="12" t="n"/>
      <x:c r="D109" s="12" t="n"/>
      <x:c r="E109" s="13" t="n"/>
      <x:c r="F109" s="12" t="n"/>
      <x:c r="G109" s="12" t="n"/>
      <x:c r="H109" s="12" t="n"/>
      <x:c r="I109" s="12" t="n"/>
      <x:c r="J109" s="12" t="n"/>
    </x:row>
    <x:row r="110">
      <x:c r="A110" s="12" t="n"/>
      <x:c r="B110" s="12" t="n"/>
      <x:c r="C110" s="12" t="n"/>
      <x:c r="D110" s="12" t="n"/>
      <x:c r="E110" s="13" t="n"/>
      <x:c r="F110" s="12" t="n"/>
      <x:c r="G110" s="12" t="n"/>
      <x:c r="H110" s="12" t="n"/>
      <x:c r="I110" s="12" t="n"/>
      <x:c r="J110" s="12" t="n"/>
    </x:row>
    <x:row r="111">
      <x:c r="A111" s="12" t="n"/>
      <x:c r="B111" s="12" t="n"/>
      <x:c r="C111" s="12" t="n"/>
      <x:c r="D111" s="12" t="n"/>
      <x:c r="E111" s="13" t="n"/>
      <x:c r="F111" s="12" t="n"/>
      <x:c r="G111" s="12" t="n"/>
      <x:c r="H111" s="12" t="n"/>
      <x:c r="I111" s="12" t="n"/>
      <x:c r="J111" s="12" t="n"/>
    </x:row>
    <x:row r="112">
      <x:c r="A112" s="12" t="n"/>
      <x:c r="B112" s="12" t="n"/>
      <x:c r="C112" s="12" t="n"/>
      <x:c r="D112" s="12" t="n"/>
      <x:c r="E112" s="13" t="n"/>
      <x:c r="F112" s="12" t="n"/>
      <x:c r="G112" s="12" t="n"/>
      <x:c r="H112" s="12" t="n"/>
      <x:c r="I112" s="12" t="n"/>
      <x:c r="J112" s="12" t="n"/>
    </x:row>
    <x:row r="113">
      <x:c r="A113" s="12" t="n"/>
      <x:c r="B113" s="12" t="n"/>
      <x:c r="C113" s="12" t="n"/>
      <x:c r="D113" s="12" t="n"/>
      <x:c r="E113" s="13" t="n"/>
      <x:c r="F113" s="12" t="n"/>
      <x:c r="G113" s="12" t="n"/>
      <x:c r="H113" s="12" t="n"/>
      <x:c r="I113" s="12" t="n"/>
      <x:c r="J113" s="12" t="n"/>
    </x:row>
    <x:row r="114">
      <x:c r="A114" s="12" t="n"/>
      <x:c r="B114" s="12" t="n"/>
      <x:c r="C114" s="12" t="n"/>
      <x:c r="D114" s="12" t="n"/>
      <x:c r="E114" s="13" t="n"/>
      <x:c r="F114" s="12" t="n"/>
      <x:c r="G114" s="12" t="n"/>
      <x:c r="H114" s="12" t="n"/>
      <x:c r="I114" s="12" t="n"/>
      <x:c r="J114" s="12" t="n"/>
    </x:row>
    <x:row r="115">
      <x:c r="A115" s="12" t="n"/>
      <x:c r="B115" s="12" t="n"/>
      <x:c r="C115" s="12" t="n"/>
      <x:c r="D115" s="12" t="n"/>
      <x:c r="E115" s="13" t="n"/>
      <x:c r="F115" s="12" t="n"/>
      <x:c r="G115" s="12" t="n"/>
      <x:c r="H115" s="12" t="n"/>
      <x:c r="I115" s="12" t="n"/>
      <x:c r="J115" s="12" t="n"/>
    </x:row>
    <x:row r="116">
      <x:c r="A116" s="12" t="n"/>
      <x:c r="B116" s="12" t="n"/>
      <x:c r="C116" s="12" t="n"/>
      <x:c r="D116" s="12" t="n"/>
      <x:c r="E116" s="13" t="n"/>
      <x:c r="F116" s="12" t="n"/>
      <x:c r="G116" s="12" t="n"/>
      <x:c r="H116" s="12" t="n"/>
      <x:c r="I116" s="12" t="n"/>
      <x:c r="J116" s="12" t="n"/>
    </x:row>
    <x:row r="117">
      <x:c r="A117" s="12" t="n"/>
      <x:c r="B117" s="12" t="n"/>
      <x:c r="C117" s="12" t="n"/>
      <x:c r="D117" s="12" t="n"/>
      <x:c r="E117" s="13" t="n"/>
      <x:c r="F117" s="12" t="n"/>
      <x:c r="G117" s="12" t="n"/>
      <x:c r="H117" s="12" t="n"/>
      <x:c r="I117" s="12" t="n"/>
      <x:c r="J117" s="12" t="n"/>
    </x:row>
    <x:row r="118">
      <x:c r="A118" s="12" t="n"/>
      <x:c r="B118" s="12" t="n"/>
      <x:c r="C118" s="12" t="n"/>
      <x:c r="D118" s="12" t="n"/>
      <x:c r="E118" s="13" t="n"/>
      <x:c r="F118" s="12" t="n"/>
      <x:c r="G118" s="12" t="n"/>
      <x:c r="H118" s="12" t="n"/>
      <x:c r="I118" s="12" t="n"/>
      <x:c r="J118" s="12" t="n"/>
    </x:row>
    <x:row r="119">
      <x:c r="A119" s="12" t="n"/>
      <x:c r="B119" s="12" t="n"/>
      <x:c r="C119" s="12" t="n"/>
      <x:c r="D119" s="12" t="n"/>
      <x:c r="E119" s="13" t="n"/>
      <x:c r="F119" s="12" t="n"/>
      <x:c r="G119" s="12" t="n"/>
      <x:c r="H119" s="12" t="n"/>
      <x:c r="I119" s="12" t="n"/>
      <x:c r="J119" s="12" t="n"/>
    </x:row>
    <x:row r="120">
      <x:c r="A120" s="12" t="n"/>
      <x:c r="B120" s="12" t="n"/>
      <x:c r="C120" s="12" t="n"/>
      <x:c r="D120" s="12" t="n"/>
      <x:c r="E120" s="13" t="n"/>
      <x:c r="F120" s="12" t="n"/>
      <x:c r="G120" s="12" t="n"/>
      <x:c r="H120" s="12" t="n"/>
      <x:c r="I120" s="12" t="n"/>
      <x:c r="J120" s="12" t="n"/>
    </x:row>
    <x:row r="121">
      <x:c r="A121" s="12" t="n"/>
      <x:c r="B121" s="12" t="n"/>
      <x:c r="C121" s="12" t="n"/>
      <x:c r="D121" s="12" t="n"/>
      <x:c r="E121" s="13" t="n"/>
      <x:c r="F121" s="12" t="n"/>
      <x:c r="G121" s="12" t="n"/>
      <x:c r="H121" s="12" t="n"/>
      <x:c r="I121" s="12" t="n"/>
      <x:c r="J121" s="12" t="n"/>
    </x:row>
    <x:row r="122">
      <x:c r="A122" s="12" t="n"/>
      <x:c r="B122" s="12" t="n"/>
      <x:c r="C122" s="12" t="n"/>
      <x:c r="D122" s="12" t="n"/>
      <x:c r="E122" s="13" t="n"/>
      <x:c r="F122" s="12" t="n"/>
      <x:c r="G122" s="12" t="n"/>
      <x:c r="H122" s="12" t="n"/>
      <x:c r="I122" s="12" t="n"/>
      <x:c r="J122" s="12" t="n"/>
    </x:row>
    <x:row r="123">
      <x:c r="A123" s="12" t="n"/>
      <x:c r="B123" s="12" t="n"/>
      <x:c r="C123" s="12" t="n"/>
      <x:c r="D123" s="12" t="n"/>
      <x:c r="E123" s="13" t="n"/>
      <x:c r="F123" s="12" t="n"/>
      <x:c r="G123" s="12" t="n"/>
      <x:c r="H123" s="12" t="n"/>
      <x:c r="I123" s="12" t="n"/>
      <x:c r="J123" s="12" t="n"/>
    </x:row>
    <x:row r="124">
      <x:c r="A124" s="12" t="n"/>
      <x:c r="B124" s="12" t="n"/>
      <x:c r="C124" s="12" t="n"/>
      <x:c r="D124" s="12" t="n"/>
      <x:c r="E124" s="13" t="n"/>
      <x:c r="F124" s="12" t="n"/>
      <x:c r="G124" s="12" t="n"/>
      <x:c r="H124" s="12" t="n"/>
      <x:c r="I124" s="12" t="n"/>
      <x:c r="J124" s="12" t="n"/>
    </x:row>
    <x:row r="125">
      <x:c r="A125" s="12" t="n"/>
      <x:c r="B125" s="12" t="n"/>
      <x:c r="C125" s="12" t="n"/>
      <x:c r="D125" s="12" t="n"/>
      <x:c r="E125" s="13" t="n"/>
      <x:c r="F125" s="12" t="n"/>
      <x:c r="G125" s="12" t="n"/>
      <x:c r="H125" s="12" t="n"/>
      <x:c r="I125" s="12" t="n"/>
      <x:c r="J125" s="12" t="n"/>
    </x:row>
    <x:row r="126">
      <x:c r="A126" s="12" t="n"/>
      <x:c r="B126" s="12" t="n"/>
      <x:c r="C126" s="12" t="n"/>
      <x:c r="D126" s="12" t="n"/>
      <x:c r="E126" s="13" t="n"/>
      <x:c r="F126" s="12" t="n"/>
      <x:c r="G126" s="12" t="n"/>
      <x:c r="H126" s="12" t="n"/>
      <x:c r="I126" s="12" t="n"/>
      <x:c r="J126" s="12" t="n"/>
    </x:row>
    <x:row r="127">
      <x:c r="A127" s="12" t="n"/>
      <x:c r="B127" s="12" t="n"/>
      <x:c r="C127" s="12" t="n"/>
      <x:c r="D127" s="12" t="n"/>
      <x:c r="E127" s="13" t="n"/>
      <x:c r="F127" s="12" t="n"/>
      <x:c r="G127" s="12" t="n"/>
      <x:c r="H127" s="12" t="n"/>
      <x:c r="I127" s="12" t="n"/>
      <x:c r="J127" s="12" t="n"/>
    </x:row>
    <x:row r="128">
      <x:c r="A128" s="12" t="n"/>
      <x:c r="B128" s="12" t="n"/>
      <x:c r="C128" s="12" t="n"/>
      <x:c r="D128" s="12" t="n"/>
      <x:c r="E128" s="13" t="n"/>
      <x:c r="F128" s="12" t="n"/>
      <x:c r="G128" s="12" t="n"/>
      <x:c r="H128" s="12" t="n"/>
      <x:c r="I128" s="12" t="n"/>
      <x:c r="J128" s="12" t="n"/>
    </x:row>
    <x:row r="129">
      <x:c r="A129" s="12" t="n"/>
      <x:c r="B129" s="12" t="n"/>
      <x:c r="C129" s="12" t="n"/>
      <x:c r="D129" s="12" t="n"/>
      <x:c r="E129" s="13" t="n"/>
      <x:c r="F129" s="12" t="n"/>
      <x:c r="G129" s="12" t="n"/>
      <x:c r="H129" s="12" t="n"/>
      <x:c r="I129" s="12" t="n"/>
      <x:c r="J129" s="12" t="n"/>
    </x:row>
    <x:row r="130">
      <x:c r="A130" s="12" t="n"/>
      <x:c r="B130" s="12" t="n"/>
      <x:c r="C130" s="12" t="n"/>
      <x:c r="D130" s="12" t="n"/>
      <x:c r="E130" s="13" t="n"/>
      <x:c r="F130" s="12" t="n"/>
      <x:c r="G130" s="12" t="n"/>
      <x:c r="H130" s="12" t="n"/>
      <x:c r="I130" s="12" t="n"/>
      <x:c r="J130" s="12" t="n"/>
    </x:row>
    <x:row r="131">
      <x:c r="A131" s="12" t="n"/>
      <x:c r="B131" s="12" t="n"/>
      <x:c r="C131" s="12" t="n"/>
      <x:c r="D131" s="12" t="n"/>
      <x:c r="E131" s="13" t="n"/>
      <x:c r="F131" s="12" t="n"/>
      <x:c r="G131" s="12" t="n"/>
      <x:c r="H131" s="12" t="n"/>
      <x:c r="I131" s="12" t="n"/>
      <x:c r="J131" s="12" t="n"/>
    </x:row>
    <x:row r="132">
      <x:c r="A132" s="12" t="n"/>
      <x:c r="B132" s="12" t="n"/>
      <x:c r="C132" s="12" t="n"/>
      <x:c r="D132" s="12" t="n"/>
      <x:c r="E132" s="13" t="n"/>
      <x:c r="F132" s="12" t="n"/>
      <x:c r="G132" s="12" t="n"/>
      <x:c r="H132" s="12" t="n"/>
      <x:c r="I132" s="12" t="n"/>
      <x:c r="J132" s="12" t="n"/>
    </x:row>
    <x:row r="133">
      <x:c r="A133" s="12" t="n"/>
      <x:c r="B133" s="12" t="n"/>
      <x:c r="C133" s="12" t="n"/>
      <x:c r="D133" s="12" t="n"/>
      <x:c r="E133" s="13" t="n"/>
      <x:c r="F133" s="12" t="n"/>
      <x:c r="G133" s="12" t="n"/>
      <x:c r="H133" s="12" t="n"/>
      <x:c r="I133" s="12" t="n"/>
      <x:c r="J133" s="12" t="n"/>
    </x:row>
    <x:row r="134">
      <x:c r="A134" s="12" t="n"/>
      <x:c r="B134" s="12" t="n"/>
      <x:c r="C134" s="12" t="n"/>
      <x:c r="D134" s="12" t="n"/>
      <x:c r="E134" s="13" t="n"/>
      <x:c r="F134" s="12" t="n"/>
      <x:c r="G134" s="12" t="n"/>
      <x:c r="H134" s="12" t="n"/>
      <x:c r="I134" s="12" t="n"/>
      <x:c r="J134" s="12" t="n"/>
    </x:row>
    <x:row r="135">
      <x:c r="A135" s="12" t="n"/>
      <x:c r="B135" s="12" t="n"/>
      <x:c r="C135" s="12" t="n"/>
      <x:c r="D135" s="12" t="n"/>
      <x:c r="E135" s="13" t="n"/>
      <x:c r="F135" s="12" t="n"/>
      <x:c r="G135" s="12" t="n"/>
      <x:c r="H135" s="12" t="n"/>
      <x:c r="I135" s="12" t="n"/>
      <x:c r="J135" s="12" t="n"/>
    </x:row>
    <x:row r="136">
      <x:c r="A136" s="12" t="n"/>
      <x:c r="B136" s="12" t="n"/>
      <x:c r="C136" s="12" t="n"/>
      <x:c r="D136" s="12" t="n"/>
      <x:c r="E136" s="13" t="n"/>
      <x:c r="F136" s="12" t="n"/>
      <x:c r="G136" s="12" t="n"/>
      <x:c r="H136" s="12" t="n"/>
      <x:c r="I136" s="12" t="n"/>
      <x:c r="J136" s="12" t="n"/>
    </x:row>
    <x:row r="137">
      <x:c r="A137" s="12" t="n"/>
      <x:c r="B137" s="12" t="n"/>
      <x:c r="C137" s="12" t="n"/>
      <x:c r="D137" s="12" t="n"/>
      <x:c r="E137" s="13" t="n"/>
      <x:c r="F137" s="12" t="n"/>
      <x:c r="G137" s="12" t="n"/>
      <x:c r="H137" s="12" t="n"/>
      <x:c r="I137" s="12" t="n"/>
      <x:c r="J137" s="12" t="n"/>
    </x:row>
    <x:row r="138">
      <x:c r="A138" s="12" t="n"/>
      <x:c r="B138" s="12" t="n"/>
      <x:c r="C138" s="12" t="n"/>
      <x:c r="D138" s="12" t="n"/>
      <x:c r="E138" s="13" t="n"/>
      <x:c r="F138" s="12" t="n"/>
      <x:c r="G138" s="12" t="n"/>
      <x:c r="H138" s="12" t="n"/>
      <x:c r="I138" s="12" t="n"/>
      <x:c r="J138" s="12" t="n"/>
    </x:row>
    <x:row r="139">
      <x:c r="A139" s="12" t="n"/>
      <x:c r="B139" s="12" t="n"/>
      <x:c r="C139" s="12" t="n"/>
      <x:c r="D139" s="12" t="n"/>
      <x:c r="E139" s="13" t="n"/>
      <x:c r="F139" s="12" t="n"/>
      <x:c r="G139" s="12" t="n"/>
      <x:c r="H139" s="12" t="n"/>
      <x:c r="I139" s="12" t="n"/>
      <x:c r="J139" s="12" t="n"/>
    </x:row>
    <x:row r="140">
      <x:c r="A140" s="12" t="n"/>
      <x:c r="B140" s="12" t="n"/>
      <x:c r="C140" s="12" t="n"/>
      <x:c r="D140" s="12" t="n"/>
      <x:c r="E140" s="13" t="n"/>
      <x:c r="F140" s="12" t="n"/>
      <x:c r="G140" s="12" t="n"/>
      <x:c r="H140" s="12" t="n"/>
      <x:c r="I140" s="12" t="n"/>
      <x:c r="J140" s="12" t="n"/>
    </x:row>
    <x:row r="141">
      <x:c r="A141" s="12" t="n"/>
      <x:c r="B141" s="12" t="n"/>
      <x:c r="C141" s="12" t="n"/>
      <x:c r="D141" s="12" t="n"/>
      <x:c r="E141" s="13" t="n"/>
      <x:c r="F141" s="12" t="n"/>
      <x:c r="G141" s="12" t="n"/>
      <x:c r="H141" s="12" t="n"/>
      <x:c r="I141" s="12" t="n"/>
      <x:c r="J141" s="12" t="n"/>
    </x:row>
    <x:row r="142">
      <x:c r="A142" s="12" t="n"/>
      <x:c r="B142" s="12" t="n"/>
      <x:c r="C142" s="12" t="n"/>
      <x:c r="D142" s="12" t="n"/>
      <x:c r="E142" s="13" t="n"/>
      <x:c r="F142" s="12" t="n"/>
      <x:c r="G142" s="12" t="n"/>
      <x:c r="H142" s="12" t="n"/>
      <x:c r="I142" s="12" t="n"/>
      <x:c r="J142" s="12" t="n"/>
    </x:row>
    <x:row r="143">
      <x:c r="A143" s="12" t="n"/>
      <x:c r="B143" s="12" t="n"/>
      <x:c r="C143" s="12" t="n"/>
      <x:c r="D143" s="12" t="n"/>
      <x:c r="E143" s="13" t="n"/>
      <x:c r="F143" s="12" t="n"/>
      <x:c r="G143" s="12" t="n"/>
      <x:c r="H143" s="12" t="n"/>
      <x:c r="I143" s="12" t="n"/>
      <x:c r="J143" s="12" t="n"/>
    </x:row>
    <x:row r="144">
      <x:c r="A144" s="12" t="n"/>
      <x:c r="B144" s="12" t="n"/>
      <x:c r="C144" s="12" t="n"/>
      <x:c r="D144" s="12" t="n"/>
      <x:c r="E144" s="13" t="n"/>
      <x:c r="F144" s="12" t="n"/>
      <x:c r="G144" s="12" t="n"/>
      <x:c r="H144" s="12" t="n"/>
      <x:c r="I144" s="12" t="n"/>
      <x:c r="J144" s="12" t="n"/>
    </x:row>
    <x:row r="145">
      <x:c r="A145" s="12" t="n"/>
      <x:c r="B145" s="12" t="n"/>
      <x:c r="C145" s="12" t="n"/>
      <x:c r="D145" s="12" t="n"/>
      <x:c r="E145" s="13" t="n"/>
      <x:c r="F145" s="12" t="n"/>
      <x:c r="G145" s="12" t="n"/>
      <x:c r="H145" s="12" t="n"/>
      <x:c r="I145" s="12" t="n"/>
      <x:c r="J145" s="12" t="n"/>
    </x:row>
    <x:row r="146">
      <x:c r="A146" s="12" t="n"/>
      <x:c r="B146" s="12" t="n"/>
      <x:c r="C146" s="12" t="n"/>
      <x:c r="D146" s="12" t="n"/>
      <x:c r="E146" s="13" t="n"/>
      <x:c r="F146" s="12" t="n"/>
      <x:c r="G146" s="12" t="n"/>
      <x:c r="H146" s="12" t="n"/>
      <x:c r="I146" s="12" t="n"/>
      <x:c r="J146" s="12" t="n"/>
    </x:row>
    <x:row r="147">
      <x:c r="A147" s="12" t="n"/>
      <x:c r="B147" s="12" t="n"/>
      <x:c r="C147" s="12" t="n"/>
      <x:c r="D147" s="12" t="n"/>
      <x:c r="E147" s="13" t="n"/>
      <x:c r="F147" s="12" t="n"/>
      <x:c r="G147" s="12" t="n"/>
      <x:c r="H147" s="12" t="n"/>
      <x:c r="I147" s="12" t="n"/>
      <x:c r="J147" s="12" t="n"/>
    </x:row>
    <x:row r="148">
      <x:c r="A148" s="12" t="n"/>
      <x:c r="B148" s="12" t="n"/>
      <x:c r="C148" s="12" t="n"/>
      <x:c r="D148" s="12" t="n"/>
      <x:c r="E148" s="13" t="n"/>
      <x:c r="F148" s="12" t="n"/>
      <x:c r="G148" s="12" t="n"/>
      <x:c r="H148" s="12" t="n"/>
      <x:c r="I148" s="12" t="n"/>
      <x:c r="J148" s="12" t="n"/>
    </x:row>
    <x:row r="149">
      <x:c r="A149" s="12" t="n"/>
      <x:c r="B149" s="12" t="n"/>
      <x:c r="C149" s="12" t="n"/>
      <x:c r="D149" s="12" t="n"/>
      <x:c r="E149" s="13" t="n"/>
      <x:c r="F149" s="12" t="n"/>
      <x:c r="G149" s="12" t="n"/>
      <x:c r="H149" s="12" t="n"/>
      <x:c r="I149" s="12" t="n"/>
      <x:c r="J149" s="12" t="n"/>
    </x:row>
    <x:row r="150">
      <x:c r="A150" s="12" t="n"/>
      <x:c r="B150" s="12" t="n"/>
      <x:c r="C150" s="12" t="n"/>
      <x:c r="D150" s="12" t="n"/>
      <x:c r="E150" s="13" t="n"/>
      <x:c r="F150" s="12" t="n"/>
      <x:c r="G150" s="12" t="n"/>
      <x:c r="H150" s="12" t="n"/>
      <x:c r="I150" s="12" t="n"/>
      <x:c r="J150" s="12" t="n"/>
    </x:row>
    <x:row r="151">
      <x:c r="A151" s="12" t="n"/>
      <x:c r="B151" s="12" t="n"/>
      <x:c r="C151" s="12" t="n"/>
      <x:c r="D151" s="12" t="n"/>
      <x:c r="E151" s="13" t="n"/>
      <x:c r="F151" s="12" t="n"/>
      <x:c r="G151" s="12" t="n"/>
      <x:c r="H151" s="12" t="n"/>
      <x:c r="I151" s="12" t="n"/>
      <x:c r="J151" s="12" t="n"/>
    </x:row>
    <x:row r="152">
      <x:c r="A152" s="12" t="n"/>
      <x:c r="B152" s="12" t="n"/>
      <x:c r="C152" s="12" t="n"/>
      <x:c r="D152" s="12" t="n"/>
      <x:c r="E152" s="13" t="n"/>
      <x:c r="F152" s="12" t="n"/>
      <x:c r="G152" s="12" t="n"/>
      <x:c r="H152" s="12" t="n"/>
      <x:c r="I152" s="12" t="n"/>
      <x:c r="J152" s="12" t="n"/>
    </x:row>
    <x:row r="153">
      <x:c r="A153" s="12" t="n"/>
      <x:c r="B153" s="12" t="n"/>
      <x:c r="C153" s="12" t="n"/>
      <x:c r="D153" s="12" t="n"/>
      <x:c r="E153" s="13" t="n"/>
      <x:c r="F153" s="12" t="n"/>
      <x:c r="G153" s="12" t="n"/>
      <x:c r="H153" s="12" t="n"/>
      <x:c r="I153" s="12" t="n"/>
      <x:c r="J153" s="12" t="n"/>
    </x:row>
    <x:row r="154">
      <x:c r="A154" s="12" t="n"/>
      <x:c r="B154" s="12" t="n"/>
      <x:c r="C154" s="12" t="n"/>
      <x:c r="D154" s="12" t="n"/>
      <x:c r="E154" s="13" t="n"/>
      <x:c r="F154" s="12" t="n"/>
      <x:c r="G154" s="12" t="n"/>
      <x:c r="H154" s="12" t="n"/>
      <x:c r="I154" s="12" t="n"/>
      <x:c r="J154" s="12" t="n"/>
    </x:row>
    <x:row r="155">
      <x:c r="A155" s="12" t="n"/>
      <x:c r="B155" s="12" t="n"/>
      <x:c r="C155" s="12" t="n"/>
      <x:c r="D155" s="12" t="n"/>
      <x:c r="E155" s="13" t="n"/>
      <x:c r="F155" s="12" t="n"/>
      <x:c r="G155" s="12" t="n"/>
      <x:c r="H155" s="12" t="n"/>
      <x:c r="I155" s="12" t="n"/>
      <x:c r="J155" s="12" t="n"/>
    </x:row>
    <x:row r="156">
      <x:c r="A156" s="12" t="n"/>
      <x:c r="B156" s="12" t="n"/>
      <x:c r="C156" s="12" t="n"/>
      <x:c r="D156" s="12" t="n"/>
      <x:c r="E156" s="13" t="n"/>
      <x:c r="F156" s="12" t="n"/>
      <x:c r="G156" s="12" t="n"/>
      <x:c r="H156" s="12" t="n"/>
      <x:c r="I156" s="12" t="n"/>
      <x:c r="J156" s="12" t="n"/>
    </x:row>
    <x:row r="157">
      <x:c r="A157" s="12" t="n"/>
      <x:c r="B157" s="12" t="n"/>
      <x:c r="C157" s="12" t="n"/>
      <x:c r="D157" s="12" t="n"/>
      <x:c r="E157" s="13" t="n"/>
      <x:c r="F157" s="12" t="n"/>
      <x:c r="G157" s="12" t="n"/>
      <x:c r="H157" s="12" t="n"/>
      <x:c r="I157" s="12" t="n"/>
      <x:c r="J157" s="12" t="n"/>
    </x:row>
    <x:row r="158">
      <x:c r="A158" s="12" t="n"/>
      <x:c r="B158" s="12" t="n"/>
      <x:c r="C158" s="12" t="n"/>
      <x:c r="D158" s="12" t="n"/>
      <x:c r="E158" s="13" t="n"/>
      <x:c r="F158" s="12" t="n"/>
      <x:c r="G158" s="12" t="n"/>
      <x:c r="H158" s="12" t="n"/>
      <x:c r="I158" s="12" t="n"/>
      <x:c r="J158" s="12" t="n"/>
    </x:row>
    <x:row r="159">
      <x:c r="A159" s="12" t="n"/>
      <x:c r="B159" s="12" t="n"/>
      <x:c r="C159" s="12" t="n"/>
      <x:c r="D159" s="12" t="n"/>
      <x:c r="E159" s="13" t="n"/>
      <x:c r="F159" s="12" t="n"/>
      <x:c r="G159" s="12" t="n"/>
      <x:c r="H159" s="12" t="n"/>
      <x:c r="I159" s="12" t="n"/>
      <x:c r="J159" s="12" t="n"/>
    </x:row>
    <x:row r="160">
      <x:c r="A160" s="12" t="n"/>
      <x:c r="B160" s="12" t="n"/>
      <x:c r="C160" s="12" t="n"/>
      <x:c r="D160" s="12" t="n"/>
      <x:c r="E160" s="13" t="n"/>
      <x:c r="F160" s="12" t="n"/>
      <x:c r="G160" s="12" t="n"/>
      <x:c r="H160" s="12" t="n"/>
      <x:c r="I160" s="12" t="n"/>
      <x:c r="J160" s="12" t="n"/>
    </x:row>
    <x:row r="161">
      <x:c r="A161" s="12" t="n"/>
      <x:c r="B161" s="12" t="n"/>
      <x:c r="C161" s="12" t="n"/>
      <x:c r="D161" s="12" t="n"/>
      <x:c r="E161" s="13" t="n"/>
      <x:c r="F161" s="12" t="n"/>
      <x:c r="G161" s="12" t="n"/>
      <x:c r="H161" s="12" t="n"/>
      <x:c r="I161" s="12" t="n"/>
      <x:c r="J161" s="12" t="n"/>
    </x:row>
    <x:row r="162">
      <x:c r="A162" s="12" t="n"/>
      <x:c r="B162" s="12" t="n"/>
      <x:c r="C162" s="12" t="n"/>
      <x:c r="D162" s="12" t="n"/>
      <x:c r="E162" s="13" t="n"/>
      <x:c r="F162" s="12" t="n"/>
      <x:c r="G162" s="12" t="n"/>
      <x:c r="H162" s="12" t="n"/>
      <x:c r="I162" s="12" t="n"/>
      <x:c r="J162" s="12" t="n"/>
    </x:row>
    <x:row r="163">
      <x:c r="A163" s="12" t="n"/>
      <x:c r="B163" s="12" t="n"/>
      <x:c r="C163" s="12" t="n"/>
      <x:c r="D163" s="12" t="n"/>
      <x:c r="E163" s="13" t="n"/>
      <x:c r="F163" s="12" t="n"/>
      <x:c r="G163" s="12" t="n"/>
      <x:c r="H163" s="12" t="n"/>
      <x:c r="I163" s="12" t="n"/>
      <x:c r="J163" s="12" t="n"/>
    </x:row>
    <x:row r="164">
      <x:c r="A164" s="12" t="n"/>
      <x:c r="B164" s="12" t="n"/>
      <x:c r="C164" s="12" t="n"/>
      <x:c r="D164" s="12" t="n"/>
      <x:c r="E164" s="13" t="n"/>
      <x:c r="F164" s="12" t="n"/>
      <x:c r="G164" s="12" t="n"/>
      <x:c r="H164" s="12" t="n"/>
      <x:c r="I164" s="12" t="n"/>
      <x:c r="J164" s="12" t="n"/>
    </x:row>
    <x:row r="165">
      <x:c r="A165" s="12" t="n"/>
      <x:c r="B165" s="12" t="n"/>
      <x:c r="C165" s="12" t="n"/>
      <x:c r="D165" s="12" t="n"/>
      <x:c r="E165" s="13" t="n"/>
      <x:c r="F165" s="12" t="n"/>
      <x:c r="G165" s="12" t="n"/>
      <x:c r="H165" s="12" t="n"/>
      <x:c r="I165" s="12" t="n"/>
      <x:c r="J165" s="12" t="n"/>
    </x:row>
    <x:row r="166">
      <x:c r="A166" s="12" t="n"/>
      <x:c r="B166" s="12" t="n"/>
      <x:c r="C166" s="12" t="n"/>
      <x:c r="D166" s="12" t="n"/>
      <x:c r="E166" s="13" t="n"/>
      <x:c r="F166" s="12" t="n"/>
      <x:c r="G166" s="12" t="n"/>
      <x:c r="H166" s="12" t="n"/>
      <x:c r="I166" s="12" t="n"/>
      <x:c r="J166" s="12" t="n"/>
    </x:row>
    <x:row r="167">
      <x:c r="A167" s="12" t="n"/>
      <x:c r="B167" s="12" t="n"/>
      <x:c r="C167" s="12" t="n"/>
      <x:c r="D167" s="12" t="n"/>
      <x:c r="E167" s="13" t="n"/>
      <x:c r="F167" s="12" t="n"/>
      <x:c r="G167" s="12" t="n"/>
      <x:c r="H167" s="12" t="n"/>
      <x:c r="I167" s="12" t="n"/>
      <x:c r="J167" s="12" t="n"/>
    </x:row>
    <x:row r="168">
      <x:c r="A168" s="12" t="n"/>
      <x:c r="B168" s="12" t="n"/>
      <x:c r="C168" s="12" t="n"/>
      <x:c r="D168" s="12" t="n"/>
      <x:c r="E168" s="13" t="n"/>
      <x:c r="F168" s="12" t="n"/>
      <x:c r="G168" s="12" t="n"/>
      <x:c r="H168" s="12" t="n"/>
      <x:c r="I168" s="12" t="n"/>
      <x:c r="J168" s="12" t="n"/>
    </x:row>
    <x:row r="169">
      <x:c r="A169" s="12" t="n"/>
      <x:c r="B169" s="12" t="n"/>
      <x:c r="C169" s="12" t="n"/>
      <x:c r="D169" s="12" t="n"/>
      <x:c r="E169" s="13" t="n"/>
      <x:c r="F169" s="12" t="n"/>
      <x:c r="G169" s="12" t="n"/>
      <x:c r="H169" s="12" t="n"/>
      <x:c r="I169" s="12" t="n"/>
      <x:c r="J169" s="12" t="n"/>
    </x:row>
    <x:row r="170">
      <x:c r="A170" s="12" t="n"/>
      <x:c r="B170" s="12" t="n"/>
      <x:c r="C170" s="12" t="n"/>
      <x:c r="D170" s="12" t="n"/>
      <x:c r="E170" s="13" t="n"/>
      <x:c r="F170" s="12" t="n"/>
      <x:c r="G170" s="12" t="n"/>
      <x:c r="H170" s="12" t="n"/>
      <x:c r="I170" s="12" t="n"/>
      <x:c r="J170" s="12" t="n"/>
    </x:row>
    <x:row r="171">
      <x:c r="A171" s="12" t="n"/>
      <x:c r="B171" s="12" t="n"/>
      <x:c r="C171" s="12" t="n"/>
      <x:c r="D171" s="12" t="n"/>
      <x:c r="E171" s="13" t="n"/>
      <x:c r="F171" s="12" t="n"/>
      <x:c r="G171" s="12" t="n"/>
      <x:c r="H171" s="12" t="n"/>
      <x:c r="I171" s="12" t="n"/>
      <x:c r="J171" s="12" t="n"/>
    </x:row>
    <x:row r="172">
      <x:c r="A172" s="12" t="n"/>
      <x:c r="B172" s="12" t="n"/>
      <x:c r="C172" s="12" t="n"/>
      <x:c r="D172" s="12" t="n"/>
      <x:c r="E172" s="13" t="n"/>
      <x:c r="F172" s="12" t="n"/>
      <x:c r="G172" s="12" t="n"/>
      <x:c r="H172" s="12" t="n"/>
      <x:c r="I172" s="12" t="n"/>
      <x:c r="J172" s="12" t="n"/>
    </x:row>
    <x:row r="173">
      <x:c r="A173" s="12" t="n"/>
      <x:c r="B173" s="12" t="n"/>
      <x:c r="C173" s="12" t="n"/>
      <x:c r="D173" s="12" t="n"/>
      <x:c r="E173" s="13" t="n"/>
      <x:c r="F173" s="12" t="n"/>
      <x:c r="G173" s="12" t="n"/>
      <x:c r="H173" s="12" t="n"/>
      <x:c r="I173" s="12" t="n"/>
      <x:c r="J173" s="12" t="n"/>
    </x:row>
    <x:row r="174">
      <x:c r="A174" s="12" t="n"/>
      <x:c r="B174" s="12" t="n"/>
      <x:c r="C174" s="12" t="n"/>
      <x:c r="D174" s="12" t="n"/>
      <x:c r="E174" s="13" t="n"/>
      <x:c r="F174" s="12" t="n"/>
      <x:c r="G174" s="12" t="n"/>
      <x:c r="H174" s="12" t="n"/>
      <x:c r="I174" s="12" t="n"/>
      <x:c r="J174" s="12" t="n"/>
    </x:row>
    <x:row r="175">
      <x:c r="A175" s="12" t="n"/>
      <x:c r="B175" s="12" t="n"/>
      <x:c r="C175" s="12" t="n"/>
      <x:c r="D175" s="12" t="n"/>
      <x:c r="E175" s="13" t="n"/>
      <x:c r="F175" s="12" t="n"/>
      <x:c r="G175" s="12" t="n"/>
      <x:c r="H175" s="12" t="n"/>
      <x:c r="I175" s="12" t="n"/>
      <x:c r="J175" s="12" t="n"/>
    </x:row>
    <x:row r="176">
      <x:c r="A176" s="12" t="n"/>
      <x:c r="B176" s="12" t="n"/>
      <x:c r="C176" s="12" t="n"/>
      <x:c r="D176" s="12" t="n"/>
      <x:c r="E176" s="13" t="n"/>
      <x:c r="F176" s="12" t="n"/>
      <x:c r="G176" s="12" t="n"/>
      <x:c r="H176" s="12" t="n"/>
      <x:c r="I176" s="12" t="n"/>
      <x:c r="J176" s="12" t="n"/>
    </x:row>
    <x:row r="177">
      <x:c r="A177" s="12" t="n"/>
      <x:c r="B177" s="12" t="n"/>
      <x:c r="C177" s="12" t="n"/>
      <x:c r="D177" s="12" t="n"/>
      <x:c r="E177" s="13" t="n"/>
      <x:c r="F177" s="12" t="n"/>
      <x:c r="G177" s="12" t="n"/>
      <x:c r="H177" s="12" t="n"/>
      <x:c r="I177" s="12" t="n"/>
      <x:c r="J177" s="12" t="n"/>
    </x:row>
    <x:row r="178">
      <x:c r="A178" s="12" t="n"/>
      <x:c r="B178" s="12" t="n"/>
      <x:c r="C178" s="12" t="n"/>
      <x:c r="D178" s="12" t="n"/>
      <x:c r="E178" s="13" t="n"/>
      <x:c r="F178" s="12" t="n"/>
      <x:c r="G178" s="12" t="n"/>
      <x:c r="H178" s="12" t="n"/>
      <x:c r="I178" s="12" t="n"/>
      <x:c r="J178" s="12" t="n"/>
    </x:row>
    <x:row r="179">
      <x:c r="A179" s="12" t="n"/>
      <x:c r="B179" s="12" t="n"/>
      <x:c r="C179" s="12" t="n"/>
      <x:c r="D179" s="12" t="n"/>
      <x:c r="E179" s="13" t="n"/>
      <x:c r="F179" s="12" t="n"/>
      <x:c r="G179" s="12" t="n"/>
      <x:c r="H179" s="12" t="n"/>
      <x:c r="I179" s="12" t="n"/>
      <x:c r="J179" s="12" t="n"/>
    </x:row>
    <x:row r="180">
      <x:c r="A180" s="12" t="n"/>
      <x:c r="B180" s="12" t="n"/>
      <x:c r="C180" s="12" t="n"/>
      <x:c r="D180" s="12" t="n"/>
      <x:c r="E180" s="13" t="n"/>
      <x:c r="F180" s="12" t="n"/>
      <x:c r="G180" s="12" t="n"/>
      <x:c r="H180" s="12" t="n"/>
      <x:c r="I180" s="12" t="n"/>
      <x:c r="J180" s="12" t="n"/>
    </x:row>
    <x:row r="181">
      <x:c r="A181" s="12" t="n"/>
      <x:c r="B181" s="12" t="n"/>
      <x:c r="C181" s="12" t="n"/>
      <x:c r="D181" s="12" t="n"/>
      <x:c r="E181" s="13" t="n"/>
      <x:c r="F181" s="12" t="n"/>
      <x:c r="G181" s="12" t="n"/>
      <x:c r="H181" s="12" t="n"/>
      <x:c r="I181" s="12" t="n"/>
      <x:c r="J181" s="12" t="n"/>
    </x:row>
    <x:row r="182">
      <x:c r="A182" s="12" t="n"/>
      <x:c r="B182" s="12" t="n"/>
      <x:c r="C182" s="12" t="n"/>
      <x:c r="D182" s="12" t="n"/>
      <x:c r="E182" s="13" t="n"/>
      <x:c r="F182" s="12" t="n"/>
      <x:c r="G182" s="12" t="n"/>
      <x:c r="H182" s="12" t="n"/>
      <x:c r="I182" s="12" t="n"/>
      <x:c r="J182" s="12" t="n"/>
    </x:row>
    <x:row r="183">
      <x:c r="A183" s="12" t="n"/>
      <x:c r="B183" s="12" t="n"/>
      <x:c r="C183" s="12" t="n"/>
      <x:c r="D183" s="12" t="n"/>
      <x:c r="E183" s="13" t="n"/>
      <x:c r="F183" s="12" t="n"/>
      <x:c r="G183" s="12" t="n"/>
      <x:c r="H183" s="12" t="n"/>
      <x:c r="I183" s="12" t="n"/>
      <x:c r="J183" s="12" t="n"/>
    </x:row>
    <x:row r="184">
      <x:c r="A184" s="12" t="n"/>
      <x:c r="B184" s="12" t="n"/>
      <x:c r="C184" s="12" t="n"/>
      <x:c r="D184" s="12" t="n"/>
      <x:c r="E184" s="13" t="n"/>
      <x:c r="F184" s="12" t="n"/>
      <x:c r="G184" s="12" t="n"/>
      <x:c r="H184" s="12" t="n"/>
      <x:c r="I184" s="12" t="n"/>
      <x:c r="J184" s="12" t="n"/>
    </x:row>
    <x:row r="185">
      <x:c r="A185" s="12" t="n"/>
      <x:c r="B185" s="12" t="n"/>
      <x:c r="C185" s="12" t="n"/>
      <x:c r="D185" s="12" t="n"/>
      <x:c r="E185" s="13" t="n"/>
      <x:c r="F185" s="12" t="n"/>
      <x:c r="G185" s="12" t="n"/>
      <x:c r="H185" s="12" t="n"/>
      <x:c r="I185" s="12" t="n"/>
      <x:c r="J185" s="12" t="n"/>
    </x:row>
    <x:row r="186">
      <x:c r="A186" s="12" t="n"/>
      <x:c r="B186" s="12" t="n"/>
      <x:c r="C186" s="12" t="n"/>
      <x:c r="D186" s="12" t="n"/>
      <x:c r="E186" s="13" t="n"/>
      <x:c r="F186" s="12" t="n"/>
      <x:c r="G186" s="12" t="n"/>
      <x:c r="H186" s="12" t="n"/>
      <x:c r="I186" s="12" t="n"/>
      <x:c r="J186" s="12" t="n"/>
    </x:row>
    <x:row r="187">
      <x:c r="A187" s="12" t="n"/>
      <x:c r="B187" s="12" t="n"/>
      <x:c r="C187" s="12" t="n"/>
      <x:c r="D187" s="12" t="n"/>
      <x:c r="E187" s="13" t="n"/>
      <x:c r="F187" s="12" t="n"/>
      <x:c r="G187" s="12" t="n"/>
      <x:c r="H187" s="12" t="n"/>
      <x:c r="I187" s="12" t="n"/>
      <x:c r="J187" s="12" t="n"/>
    </x:row>
    <x:row r="188">
      <x:c r="A188" s="12" t="n"/>
      <x:c r="B188" s="12" t="n"/>
      <x:c r="C188" s="12" t="n"/>
      <x:c r="D188" s="12" t="n"/>
      <x:c r="E188" s="13" t="n"/>
      <x:c r="F188" s="12" t="n"/>
      <x:c r="G188" s="12" t="n"/>
      <x:c r="H188" s="12" t="n"/>
      <x:c r="I188" s="12" t="n"/>
      <x:c r="J188" s="12" t="n"/>
    </x:row>
    <x:row r="189">
      <x:c r="A189" s="12" t="n"/>
      <x:c r="B189" s="12" t="n"/>
      <x:c r="C189" s="12" t="n"/>
      <x:c r="D189" s="12" t="n"/>
      <x:c r="E189" s="13" t="n"/>
      <x:c r="F189" s="12" t="n"/>
      <x:c r="G189" s="12" t="n"/>
      <x:c r="H189" s="12" t="n"/>
      <x:c r="I189" s="12" t="n"/>
      <x:c r="J189" s="12" t="n"/>
    </x:row>
    <x:row r="190">
      <x:c r="A190" s="12" t="n"/>
      <x:c r="B190" s="12" t="n"/>
      <x:c r="C190" s="12" t="n"/>
      <x:c r="D190" s="12" t="n"/>
      <x:c r="E190" s="13" t="n"/>
      <x:c r="F190" s="12" t="n"/>
      <x:c r="G190" s="12" t="n"/>
      <x:c r="H190" s="12" t="n"/>
      <x:c r="I190" s="12" t="n"/>
      <x:c r="J190" s="12" t="n"/>
    </x:row>
    <x:row r="191">
      <x:c r="A191" s="12" t="n"/>
      <x:c r="B191" s="12" t="n"/>
      <x:c r="C191" s="12" t="n"/>
      <x:c r="D191" s="12" t="n"/>
      <x:c r="E191" s="13" t="n"/>
      <x:c r="F191" s="12" t="n"/>
      <x:c r="G191" s="12" t="n"/>
      <x:c r="H191" s="12" t="n"/>
      <x:c r="I191" s="12" t="n"/>
      <x:c r="J191" s="12" t="n"/>
    </x:row>
    <x:row r="192">
      <x:c r="A192" s="12" t="n"/>
      <x:c r="B192" s="12" t="n"/>
      <x:c r="C192" s="12" t="n"/>
      <x:c r="D192" s="12" t="n"/>
      <x:c r="E192" s="13" t="n"/>
      <x:c r="F192" s="12" t="n"/>
      <x:c r="G192" s="12" t="n"/>
      <x:c r="H192" s="12" t="n"/>
      <x:c r="I192" s="12" t="n"/>
      <x:c r="J192" s="12" t="n"/>
    </x:row>
    <x:row r="193">
      <x:c r="A193" s="12" t="n"/>
      <x:c r="B193" s="12" t="n"/>
      <x:c r="C193" s="12" t="n"/>
      <x:c r="D193" s="12" t="n"/>
      <x:c r="E193" s="13" t="n"/>
      <x:c r="F193" s="12" t="n"/>
      <x:c r="G193" s="12" t="n"/>
      <x:c r="H193" s="12" t="n"/>
      <x:c r="I193" s="12" t="n"/>
      <x:c r="J193" s="12" t="n"/>
    </x:row>
    <x:row r="194">
      <x:c r="A194" s="12" t="n"/>
      <x:c r="B194" s="12" t="n"/>
      <x:c r="C194" s="12" t="n"/>
      <x:c r="D194" s="12" t="n"/>
      <x:c r="E194" s="13" t="n"/>
      <x:c r="F194" s="12" t="n"/>
      <x:c r="G194" s="12" t="n"/>
      <x:c r="H194" s="12" t="n"/>
      <x:c r="I194" s="12" t="n"/>
      <x:c r="J194" s="12" t="n"/>
    </x:row>
    <x:row r="195">
      <x:c r="A195" s="12" t="n"/>
      <x:c r="B195" s="12" t="n"/>
      <x:c r="C195" s="12" t="n"/>
      <x:c r="D195" s="12" t="n"/>
      <x:c r="E195" s="13" t="n"/>
      <x:c r="F195" s="12" t="n"/>
      <x:c r="G195" s="12" t="n"/>
      <x:c r="H195" s="12" t="n"/>
      <x:c r="I195" s="12" t="n"/>
      <x:c r="J195" s="12" t="n"/>
    </x:row>
    <x:row r="196">
      <x:c r="A196" s="12" t="n"/>
      <x:c r="B196" s="12" t="n"/>
      <x:c r="C196" s="12" t="n"/>
      <x:c r="D196" s="12" t="n"/>
      <x:c r="E196" s="13" t="n"/>
      <x:c r="F196" s="12" t="n"/>
      <x:c r="G196" s="12" t="n"/>
      <x:c r="H196" s="12" t="n"/>
      <x:c r="I196" s="12" t="n"/>
      <x:c r="J196" s="12" t="n"/>
    </x:row>
    <x:row r="197">
      <x:c r="A197" s="12" t="n"/>
      <x:c r="B197" s="12" t="n"/>
      <x:c r="C197" s="12" t="n"/>
      <x:c r="D197" s="12" t="n"/>
      <x:c r="E197" s="13" t="n"/>
      <x:c r="F197" s="12" t="n"/>
      <x:c r="G197" s="12" t="n"/>
      <x:c r="H197" s="12" t="n"/>
      <x:c r="I197" s="12" t="n"/>
      <x:c r="J197" s="12" t="n"/>
    </x:row>
    <x:row r="198">
      <x:c r="A198" s="12" t="n"/>
      <x:c r="B198" s="12" t="n"/>
      <x:c r="C198" s="12" t="n"/>
      <x:c r="D198" s="12" t="n"/>
      <x:c r="E198" s="13" t="n"/>
      <x:c r="F198" s="12" t="n"/>
      <x:c r="G198" s="12" t="n"/>
      <x:c r="H198" s="12" t="n"/>
      <x:c r="I198" s="12" t="n"/>
      <x:c r="J198" s="12" t="n"/>
    </x:row>
    <x:row r="199">
      <x:c r="A199" s="12" t="n"/>
      <x:c r="B199" s="12" t="n"/>
      <x:c r="C199" s="12" t="n"/>
      <x:c r="D199" s="12" t="n"/>
      <x:c r="E199" s="13" t="n"/>
      <x:c r="F199" s="12" t="n"/>
      <x:c r="G199" s="12" t="n"/>
      <x:c r="H199" s="12" t="n"/>
      <x:c r="I199" s="12" t="n"/>
      <x:c r="J199" s="12" t="n"/>
    </x:row>
    <x:row r="200">
      <x:c r="A200" s="12" t="n"/>
      <x:c r="B200" s="12" t="n"/>
      <x:c r="C200" s="12" t="n"/>
      <x:c r="D200" s="12" t="n"/>
      <x:c r="E200" s="13" t="n"/>
      <x:c r="F200" s="12" t="n"/>
      <x:c r="G200" s="12" t="n"/>
      <x:c r="H200" s="12" t="n"/>
      <x:c r="I200" s="12" t="n"/>
      <x:c r="J200" s="12" t="n"/>
    </x:row>
    <x:row r="201">
      <x:c r="A201" s="12" t="n"/>
      <x:c r="B201" s="12" t="n"/>
      <x:c r="C201" s="12" t="n"/>
      <x:c r="D201" s="12" t="n"/>
      <x:c r="E201" s="13" t="n"/>
      <x:c r="F201" s="12" t="n"/>
      <x:c r="G201" s="12" t="n"/>
      <x:c r="H201" s="12" t="n"/>
      <x:c r="I201" s="12" t="n"/>
      <x:c r="J201" s="12" t="n"/>
    </x:row>
  </x:sheetData>
  <x:dataValidations count="3">
    <x:dataValidation type="list" allowBlank="1" showDropDown="0" showInputMessage="0" showErrorMessage="0" sqref="D2:D201">
      <x:formula1>"诉讼,被执行人,失信被执行人,经营异常,税务异常,付款逾期,沟通异常,订单波动,财务异常"</x:formula1>
    </x:dataValidation>
    <x:dataValidation type="list" allowBlank="1" showDropDown="0" showInputMessage="0" showErrorMessage="0" sqref="G2:G201">
      <x:formula1>"低,中,高,极高"</x:formula1>
    </x:dataValidation>
    <x:dataValidation type="list" allowBlank="1" showDropDown="0" showInputMessage="0" showErrorMessage="0" sqref="H2:H201">
      <x:formula1>"否,是"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0" customWidth="1"/>
    <x:col min="4" max="4" width="10" customWidth="1"/>
    <x:col min="5" max="5" width="10" customWidth="1"/>
    <x:col min="6" max="6" width="10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4" customWidth="1"/>
    <x:col min="17" max="17" width="14" customWidth="1"/>
    <x:col min="18" max="18" width="14" customWidth="1"/>
    <x:col min="19" max="19" width="10" customWidth="1"/>
    <x:col min="20" max="20" width="10" customWidth="1"/>
    <x:col min="21" max="21" width="22" customWidth="1"/>
    <x:col min="22" max="22" width="12" customWidth="1"/>
    <x:col min="23" max="23" width="20" customWidth="1"/>
  </x:cols>
  <x:sheetData>
    <x:row r="1" ht="24" customHeight="1">
      <x:c r="A1" s="8" t="inlineStr">
        <x:is>
          <x:t xml:space="preserve">评分ID</x:t>
        </x:is>
      </x:c>
      <x:c r="B1" s="8" t="inlineStr">
        <x:is>
          <x:t xml:space="preserve">客户ID</x:t>
        </x:is>
      </x:c>
      <x:c r="C1" s="8" t="inlineStr">
        <x:is>
          <x:t xml:space="preserve">客户名称</x:t>
        </x:is>
      </x:c>
      <x:c r="D1" s="8" t="inlineStr">
        <x:is>
          <x:t xml:space="preserve">诉讼件数</x:t>
        </x:is>
      </x:c>
      <x:c r="E1" s="8" t="inlineStr">
        <x:is>
          <x:t xml:space="preserve">被执行次数</x:t>
        </x:is>
      </x:c>
      <x:c r="F1" s="8" t="inlineStr">
        <x:is>
          <x:t xml:space="preserve">失信标记</x:t>
        </x:is>
      </x:c>
      <x:c r="G1" s="8" t="inlineStr">
        <x:is>
          <x:t xml:space="preserve">税务异常标记</x:t>
        </x:is>
      </x:c>
      <x:c r="H1" s="8" t="inlineStr">
        <x:is>
          <x:t xml:space="preserve">历史逾期次数</x:t>
        </x:is>
      </x:c>
      <x:c r="I1" s="8" t="inlineStr">
        <x:is>
          <x:t xml:space="preserve">最大逾期天数</x:t>
        </x:is>
      </x:c>
      <x:c r="J1" s="8" t="inlineStr">
        <x:is>
          <x:t xml:space="preserve">付款习惯评分(0-10)</x:t>
        </x:is>
      </x:c>
      <x:c r="K1" s="8" t="inlineStr">
        <x:is>
          <x:t xml:space="preserve">订单稳定性评分(0-10)</x:t>
        </x:is>
      </x:c>
      <x:c r="L1" s="8" t="inlineStr">
        <x:is>
          <x:t xml:space="preserve">沟通情况评分(0-10)</x:t>
        </x:is>
      </x:c>
      <x:c r="M1" s="8" t="inlineStr">
        <x:is>
          <x:t xml:space="preserve">现金流评分(0-10)</x:t>
        </x:is>
      </x:c>
      <x:c r="N1" s="8" t="inlineStr">
        <x:is>
          <x:t xml:space="preserve">负债率评分(0-10)</x:t>
        </x:is>
      </x:c>
      <x:c r="O1" s="8" t="inlineStr">
        <x:is>
          <x:t xml:space="preserve">担保风险评分(0-10)</x:t>
        </x:is>
      </x:c>
      <x:c r="P1" s="8" t="inlineStr">
        <x:is>
          <x:t xml:space="preserve">信用风险得分(40)</x:t>
        </x:is>
      </x:c>
      <x:c r="Q1" s="8" t="inlineStr">
        <x:is>
          <x:t xml:space="preserve">经营风险得分(30)</x:t>
        </x:is>
      </x:c>
      <x:c r="R1" s="8" t="inlineStr">
        <x:is>
          <x:t xml:space="preserve">财务风险得分(30)</x:t>
        </x:is>
      </x:c>
      <x:c r="S1" s="8" t="inlineStr">
        <x:is>
          <x:t xml:space="preserve">总分</x:t>
        </x:is>
      </x:c>
      <x:c r="T1" s="8" t="inlineStr">
        <x:is>
          <x:t xml:space="preserve">信用等级</x:t>
        </x:is>
      </x:c>
      <x:c r="U1" s="8" t="inlineStr">
        <x:is>
          <x:t xml:space="preserve">额度策略建议</x:t>
        </x:is>
      </x:c>
      <x:c r="V1" s="8" t="inlineStr">
        <x:is>
          <x:t xml:space="preserve">评分日期</x:t>
        </x:is>
      </x:c>
      <x:c r="W1" s="8" t="inlineStr">
        <x:is>
          <x:t xml:space="preserve">评语</x:t>
        </x:is>
      </x:c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  <x:c r="L2" s="12" t="n"/>
      <x:c r="M2" s="12" t="n"/>
      <x:c r="N2" s="12" t="n"/>
      <x:c r="O2" s="12" t="n"/>
      <x:c r="P2" s="17">
        <x:f>IF($B2="","",MAX(0,40-$D2*Params!$B$2-$E2*Params!$B$3-IF($F2="是",Params!$B$4,0)-IF($G2="是",Params!$B$5,0)-IF($H2&gt;=1,Params!$B$6,0)-IF($I2&gt;90,Params!$B$8,IF($I2&gt;60,Params!$B$7,0))))</x:f>
      </x:c>
      <x:c r="Q2" s="17">
        <x:f>IF($B2="","",MAX(0,MIN(30,$J2+$K2+$L2)))</x:f>
      </x:c>
      <x:c r="R2" s="17">
        <x:f>IF($B2="","",MAX(0,MIN(30,$M2+$N2+$O2)))</x:f>
      </x:c>
      <x:c r="S2" s="17">
        <x:f>IF($B2="","",$P2+$Q2+$R2)</x:f>
      </x:c>
      <x:c r="T2" s="17">
        <x:f>IF($S2="","",IF($S2&gt;=90,"A+",IF($S2&gt;=80,"A",IF($S2&gt;=70,"B",IF($S2&gt;=60,"C","D")))))</x:f>
      </x:c>
      <x:c r="U2" s="17">
        <x:f>IF($T2="","",IF($T2="A+","正常合作 / 维持额度",IF($T2="A","正常合作 / 关注回款",IF($T2="B","控制新增赊销",IF($T2="C","降低额度 / 缩短账期","停供评估 / 法务关注")))))</x:f>
      </x:c>
      <x:c r="V2" s="13" t="n"/>
      <x:c r="W2" s="12" t="n"/>
    </x:row>
    <x:row r="3">
      <x:c r="A3" s="12" t="n"/>
      <x:c r="B3" s="12" t="n"/>
      <x:c r="C3" s="12" t="n"/>
      <x:c r="D3" s="12" t="n"/>
      <x:c r="E3" s="12" t="n"/>
      <x:c r="F3" s="12" t="n"/>
      <x:c r="G3" s="12" t="n"/>
      <x:c r="H3" s="12" t="n"/>
      <x:c r="I3" s="12" t="n"/>
      <x:c r="J3" s="12" t="n"/>
      <x:c r="K3" s="12" t="n"/>
      <x:c r="L3" s="12" t="n"/>
      <x:c r="M3" s="12" t="n"/>
      <x:c r="N3" s="12" t="n"/>
      <x:c r="O3" s="12" t="n"/>
      <x:c r="P3" s="17">
        <x:f>IF($B3="","",MAX(0,40-$D3*Params!$B$2-$E3*Params!$B$3-IF($F3="是",Params!$B$4,0)-IF($G3="是",Params!$B$5,0)-IF($H3&gt;=1,Params!$B$6,0)-IF($I3&gt;90,Params!$B$8,IF($I3&gt;60,Params!$B$7,0))))</x:f>
      </x:c>
      <x:c r="Q3" s="17">
        <x:f>IF($B3="","",MAX(0,MIN(30,$J3+$K3+$L3)))</x:f>
      </x:c>
      <x:c r="R3" s="17">
        <x:f>IF($B3="","",MAX(0,MIN(30,$M3+$N3+$O3)))</x:f>
      </x:c>
      <x:c r="S3" s="17">
        <x:f>IF($B3="","",$P3+$Q3+$R3)</x:f>
      </x:c>
      <x:c r="T3" s="17">
        <x:f>IF($S3="","",IF($S3&gt;=90,"A+",IF($S3&gt;=80,"A",IF($S3&gt;=70,"B",IF($S3&gt;=60,"C","D")))))</x:f>
      </x:c>
      <x:c r="U3" s="17">
        <x:f>IF($T3="","",IF($T3="A+","正常合作 / 维持额度",IF($T3="A","正常合作 / 关注回款",IF($T3="B","控制新增赊销",IF($T3="C","降低额度 / 缩短账期","停供评估 / 法务关注")))))</x:f>
      </x:c>
      <x:c r="V3" s="13" t="n"/>
      <x:c r="W3" s="12" t="n"/>
    </x:row>
    <x:row r="4">
      <x:c r="A4" s="12" t="n"/>
      <x:c r="B4" s="12" t="n"/>
      <x:c r="C4" s="12" t="n"/>
      <x:c r="D4" s="12" t="n"/>
      <x:c r="E4" s="12" t="n"/>
      <x:c r="F4" s="12" t="n"/>
      <x:c r="G4" s="12" t="n"/>
      <x:c r="H4" s="12" t="n"/>
      <x:c r="I4" s="12" t="n"/>
      <x:c r="J4" s="12" t="n"/>
      <x:c r="K4" s="12" t="n"/>
      <x:c r="L4" s="12" t="n"/>
      <x:c r="M4" s="12" t="n"/>
      <x:c r="N4" s="12" t="n"/>
      <x:c r="O4" s="12" t="n"/>
      <x:c r="P4" s="17">
        <x:f>IF($B4="","",MAX(0,40-$D4*Params!$B$2-$E4*Params!$B$3-IF($F4="是",Params!$B$4,0)-IF($G4="是",Params!$B$5,0)-IF($H4&gt;=1,Params!$B$6,0)-IF($I4&gt;90,Params!$B$8,IF($I4&gt;60,Params!$B$7,0))))</x:f>
      </x:c>
      <x:c r="Q4" s="17">
        <x:f>IF($B4="","",MAX(0,MIN(30,$J4+$K4+$L4)))</x:f>
      </x:c>
      <x:c r="R4" s="17">
        <x:f>IF($B4="","",MAX(0,MIN(30,$M4+$N4+$O4)))</x:f>
      </x:c>
      <x:c r="S4" s="17">
        <x:f>IF($B4="","",$P4+$Q4+$R4)</x:f>
      </x:c>
      <x:c r="T4" s="17">
        <x:f>IF($S4="","",IF($S4&gt;=90,"A+",IF($S4&gt;=80,"A",IF($S4&gt;=70,"B",IF($S4&gt;=60,"C","D")))))</x:f>
      </x:c>
      <x:c r="U4" s="17">
        <x:f>IF($T4="","",IF($T4="A+","正常合作 / 维持额度",IF($T4="A","正常合作 / 关注回款",IF($T4="B","控制新增赊销",IF($T4="C","降低额度 / 缩短账期","停供评估 / 法务关注")))))</x:f>
      </x:c>
      <x:c r="V4" s="13" t="n"/>
      <x:c r="W4" s="12" t="n"/>
    </x:row>
    <x:row r="5">
      <x:c r="A5" s="12" t="n"/>
      <x:c r="B5" s="12" t="n"/>
      <x:c r="C5" s="12" t="n"/>
      <x:c r="D5" s="12" t="n"/>
      <x:c r="E5" s="12" t="n"/>
      <x:c r="F5" s="12" t="n"/>
      <x:c r="G5" s="12" t="n"/>
      <x:c r="H5" s="12" t="n"/>
      <x:c r="I5" s="12" t="n"/>
      <x:c r="J5" s="12" t="n"/>
      <x:c r="K5" s="12" t="n"/>
      <x:c r="L5" s="12" t="n"/>
      <x:c r="M5" s="12" t="n"/>
      <x:c r="N5" s="12" t="n"/>
      <x:c r="O5" s="12" t="n"/>
      <x:c r="P5" s="17">
        <x:f>IF($B5="","",MAX(0,40-$D5*Params!$B$2-$E5*Params!$B$3-IF($F5="是",Params!$B$4,0)-IF($G5="是",Params!$B$5,0)-IF($H5&gt;=1,Params!$B$6,0)-IF($I5&gt;90,Params!$B$8,IF($I5&gt;60,Params!$B$7,0))))</x:f>
      </x:c>
      <x:c r="Q5" s="17">
        <x:f>IF($B5="","",MAX(0,MIN(30,$J5+$K5+$L5)))</x:f>
      </x:c>
      <x:c r="R5" s="17">
        <x:f>IF($B5="","",MAX(0,MIN(30,$M5+$N5+$O5)))</x:f>
      </x:c>
      <x:c r="S5" s="17">
        <x:f>IF($B5="","",$P5+$Q5+$R5)</x:f>
      </x:c>
      <x:c r="T5" s="17">
        <x:f>IF($S5="","",IF($S5&gt;=90,"A+",IF($S5&gt;=80,"A",IF($S5&gt;=70,"B",IF($S5&gt;=60,"C","D")))))</x:f>
      </x:c>
      <x:c r="U5" s="17">
        <x:f>IF($T5="","",IF($T5="A+","正常合作 / 维持额度",IF($T5="A","正常合作 / 关注回款",IF($T5="B","控制新增赊销",IF($T5="C","降低额度 / 缩短账期","停供评估 / 法务关注")))))</x:f>
      </x:c>
      <x:c r="V5" s="13" t="n"/>
      <x:c r="W5" s="12" t="n"/>
    </x:row>
    <x:row r="6">
      <x:c r="A6" s="12" t="n"/>
      <x:c r="B6" s="12" t="n"/>
      <x:c r="C6" s="12" t="n"/>
      <x:c r="D6" s="12" t="n"/>
      <x:c r="E6" s="12" t="n"/>
      <x:c r="F6" s="12" t="n"/>
      <x:c r="G6" s="12" t="n"/>
      <x:c r="H6" s="12" t="n"/>
      <x:c r="I6" s="12" t="n"/>
      <x:c r="J6" s="12" t="n"/>
      <x:c r="K6" s="12" t="n"/>
      <x:c r="L6" s="12" t="n"/>
      <x:c r="M6" s="12" t="n"/>
      <x:c r="N6" s="12" t="n"/>
      <x:c r="O6" s="12" t="n"/>
      <x:c r="P6" s="17">
        <x:f>IF($B6="","",MAX(0,40-$D6*Params!$B$2-$E6*Params!$B$3-IF($F6="是",Params!$B$4,0)-IF($G6="是",Params!$B$5,0)-IF($H6&gt;=1,Params!$B$6,0)-IF($I6&gt;90,Params!$B$8,IF($I6&gt;60,Params!$B$7,0))))</x:f>
      </x:c>
      <x:c r="Q6" s="17">
        <x:f>IF($B6="","",MAX(0,MIN(30,$J6+$K6+$L6)))</x:f>
      </x:c>
      <x:c r="R6" s="17">
        <x:f>IF($B6="","",MAX(0,MIN(30,$M6+$N6+$O6)))</x:f>
      </x:c>
      <x:c r="S6" s="17">
        <x:f>IF($B6="","",$P6+$Q6+$R6)</x:f>
      </x:c>
      <x:c r="T6" s="17">
        <x:f>IF($S6="","",IF($S6&gt;=90,"A+",IF($S6&gt;=80,"A",IF($S6&gt;=70,"B",IF($S6&gt;=60,"C","D")))))</x:f>
      </x:c>
      <x:c r="U6" s="17">
        <x:f>IF($T6="","",IF($T6="A+","正常合作 / 维持额度",IF($T6="A","正常合作 / 关注回款",IF($T6="B","控制新增赊销",IF($T6="C","降低额度 / 缩短账期","停供评估 / 法务关注")))))</x:f>
      </x:c>
      <x:c r="V6" s="13" t="n"/>
      <x:c r="W6" s="12" t="n"/>
    </x:row>
    <x:row r="7">
      <x:c r="A7" s="12" t="n"/>
      <x:c r="B7" s="12" t="n"/>
      <x:c r="C7" s="12" t="n"/>
      <x:c r="D7" s="12" t="n"/>
      <x:c r="E7" s="12" t="n"/>
      <x:c r="F7" s="12" t="n"/>
      <x:c r="G7" s="12" t="n"/>
      <x:c r="H7" s="12" t="n"/>
      <x:c r="I7" s="12" t="n"/>
      <x:c r="J7" s="12" t="n"/>
      <x:c r="K7" s="12" t="n"/>
      <x:c r="L7" s="12" t="n"/>
      <x:c r="M7" s="12" t="n"/>
      <x:c r="N7" s="12" t="n"/>
      <x:c r="O7" s="12" t="n"/>
      <x:c r="P7" s="17">
        <x:f>IF($B7="","",MAX(0,40-$D7*Params!$B$2-$E7*Params!$B$3-IF($F7="是",Params!$B$4,0)-IF($G7="是",Params!$B$5,0)-IF($H7&gt;=1,Params!$B$6,0)-IF($I7&gt;90,Params!$B$8,IF($I7&gt;60,Params!$B$7,0))))</x:f>
      </x:c>
      <x:c r="Q7" s="17">
        <x:f>IF($B7="","",MAX(0,MIN(30,$J7+$K7+$L7)))</x:f>
      </x:c>
      <x:c r="R7" s="17">
        <x:f>IF($B7="","",MAX(0,MIN(30,$M7+$N7+$O7)))</x:f>
      </x:c>
      <x:c r="S7" s="17">
        <x:f>IF($B7="","",$P7+$Q7+$R7)</x:f>
      </x:c>
      <x:c r="T7" s="17">
        <x:f>IF($S7="","",IF($S7&gt;=90,"A+",IF($S7&gt;=80,"A",IF($S7&gt;=70,"B",IF($S7&gt;=60,"C","D")))))</x:f>
      </x:c>
      <x:c r="U7" s="17">
        <x:f>IF($T7="","",IF($T7="A+","正常合作 / 维持额度",IF($T7="A","正常合作 / 关注回款",IF($T7="B","控制新增赊销",IF($T7="C","降低额度 / 缩短账期","停供评估 / 法务关注")))))</x:f>
      </x:c>
      <x:c r="V7" s="13" t="n"/>
      <x:c r="W7" s="12" t="n"/>
    </x:row>
    <x:row r="8">
      <x:c r="A8" s="12" t="n"/>
      <x:c r="B8" s="12" t="n"/>
      <x:c r="C8" s="12" t="n"/>
      <x:c r="D8" s="12" t="n"/>
      <x:c r="E8" s="12" t="n"/>
      <x:c r="F8" s="12" t="n"/>
      <x:c r="G8" s="12" t="n"/>
      <x:c r="H8" s="12" t="n"/>
      <x:c r="I8" s="12" t="n"/>
      <x:c r="J8" s="12" t="n"/>
      <x:c r="K8" s="12" t="n"/>
      <x:c r="L8" s="12" t="n"/>
      <x:c r="M8" s="12" t="n"/>
      <x:c r="N8" s="12" t="n"/>
      <x:c r="O8" s="12" t="n"/>
      <x:c r="P8" s="17">
        <x:f>IF($B8="","",MAX(0,40-$D8*Params!$B$2-$E8*Params!$B$3-IF($F8="是",Params!$B$4,0)-IF($G8="是",Params!$B$5,0)-IF($H8&gt;=1,Params!$B$6,0)-IF($I8&gt;90,Params!$B$8,IF($I8&gt;60,Params!$B$7,0))))</x:f>
      </x:c>
      <x:c r="Q8" s="17">
        <x:f>IF($B8="","",MAX(0,MIN(30,$J8+$K8+$L8)))</x:f>
      </x:c>
      <x:c r="R8" s="17">
        <x:f>IF($B8="","",MAX(0,MIN(30,$M8+$N8+$O8)))</x:f>
      </x:c>
      <x:c r="S8" s="17">
        <x:f>IF($B8="","",$P8+$Q8+$R8)</x:f>
      </x:c>
      <x:c r="T8" s="17">
        <x:f>IF($S8="","",IF($S8&gt;=90,"A+",IF($S8&gt;=80,"A",IF($S8&gt;=70,"B",IF($S8&gt;=60,"C","D")))))</x:f>
      </x:c>
      <x:c r="U8" s="17">
        <x:f>IF($T8="","",IF($T8="A+","正常合作 / 维持额度",IF($T8="A","正常合作 / 关注回款",IF($T8="B","控制新增赊销",IF($T8="C","降低额度 / 缩短账期","停供评估 / 法务关注")))))</x:f>
      </x:c>
      <x:c r="V8" s="13" t="n"/>
      <x:c r="W8" s="12" t="n"/>
    </x:row>
    <x:row r="9">
      <x:c r="A9" s="12" t="n"/>
      <x:c r="B9" s="12" t="n"/>
      <x:c r="C9" s="12" t="n"/>
      <x:c r="D9" s="12" t="n"/>
      <x:c r="E9" s="12" t="n"/>
      <x:c r="F9" s="12" t="n"/>
      <x:c r="G9" s="12" t="n"/>
      <x:c r="H9" s="12" t="n"/>
      <x:c r="I9" s="12" t="n"/>
      <x:c r="J9" s="12" t="n"/>
      <x:c r="K9" s="12" t="n"/>
      <x:c r="L9" s="12" t="n"/>
      <x:c r="M9" s="12" t="n"/>
      <x:c r="N9" s="12" t="n"/>
      <x:c r="O9" s="12" t="n"/>
      <x:c r="P9" s="17">
        <x:f>IF($B9="","",MAX(0,40-$D9*Params!$B$2-$E9*Params!$B$3-IF($F9="是",Params!$B$4,0)-IF($G9="是",Params!$B$5,0)-IF($H9&gt;=1,Params!$B$6,0)-IF($I9&gt;90,Params!$B$8,IF($I9&gt;60,Params!$B$7,0))))</x:f>
      </x:c>
      <x:c r="Q9" s="17">
        <x:f>IF($B9="","",MAX(0,MIN(30,$J9+$K9+$L9)))</x:f>
      </x:c>
      <x:c r="R9" s="17">
        <x:f>IF($B9="","",MAX(0,MIN(30,$M9+$N9+$O9)))</x:f>
      </x:c>
      <x:c r="S9" s="17">
        <x:f>IF($B9="","",$P9+$Q9+$R9)</x:f>
      </x:c>
      <x:c r="T9" s="17">
        <x:f>IF($S9="","",IF($S9&gt;=90,"A+",IF($S9&gt;=80,"A",IF($S9&gt;=70,"B",IF($S9&gt;=60,"C","D")))))</x:f>
      </x:c>
      <x:c r="U9" s="17">
        <x:f>IF($T9="","",IF($T9="A+","正常合作 / 维持额度",IF($T9="A","正常合作 / 关注回款",IF($T9="B","控制新增赊销",IF($T9="C","降低额度 / 缩短账期","停供评估 / 法务关注")))))</x:f>
      </x:c>
      <x:c r="V9" s="13" t="n"/>
      <x:c r="W9" s="12" t="n"/>
    </x:row>
    <x:row r="10">
      <x:c r="A10" s="12" t="n"/>
      <x:c r="B10" s="12" t="n"/>
      <x:c r="C10" s="12" t="n"/>
      <x:c r="D10" s="12" t="n"/>
      <x:c r="E10" s="12" t="n"/>
      <x:c r="F10" s="12" t="n"/>
      <x:c r="G10" s="12" t="n"/>
      <x:c r="H10" s="12" t="n"/>
      <x:c r="I10" s="12" t="n"/>
      <x:c r="J10" s="12" t="n"/>
      <x:c r="K10" s="12" t="n"/>
      <x:c r="L10" s="12" t="n"/>
      <x:c r="M10" s="12" t="n"/>
      <x:c r="N10" s="12" t="n"/>
      <x:c r="O10" s="12" t="n"/>
      <x:c r="P10" s="17">
        <x:f>IF($B10="","",MAX(0,40-$D10*Params!$B$2-$E10*Params!$B$3-IF($F10="是",Params!$B$4,0)-IF($G10="是",Params!$B$5,0)-IF($H10&gt;=1,Params!$B$6,0)-IF($I10&gt;90,Params!$B$8,IF($I10&gt;60,Params!$B$7,0))))</x:f>
      </x:c>
      <x:c r="Q10" s="17">
        <x:f>IF($B10="","",MAX(0,MIN(30,$J10+$K10+$L10)))</x:f>
      </x:c>
      <x:c r="R10" s="17">
        <x:f>IF($B10="","",MAX(0,MIN(30,$M10+$N10+$O10)))</x:f>
      </x:c>
      <x:c r="S10" s="17">
        <x:f>IF($B10="","",$P10+$Q10+$R10)</x:f>
      </x:c>
      <x:c r="T10" s="17">
        <x:f>IF($S10="","",IF($S10&gt;=90,"A+",IF($S10&gt;=80,"A",IF($S10&gt;=70,"B",IF($S10&gt;=60,"C","D")))))</x:f>
      </x:c>
      <x:c r="U10" s="17">
        <x:f>IF($T10="","",IF($T10="A+","正常合作 / 维持额度",IF($T10="A","正常合作 / 关注回款",IF($T10="B","控制新增赊销",IF($T10="C","降低额度 / 缩短账期","停供评估 / 法务关注")))))</x:f>
      </x:c>
      <x:c r="V10" s="13" t="n"/>
      <x:c r="W10" s="12" t="n"/>
    </x:row>
    <x:row r="11">
      <x:c r="A11" s="12" t="n"/>
      <x:c r="B11" s="12" t="n"/>
      <x:c r="C11" s="12" t="n"/>
      <x:c r="D11" s="12" t="n"/>
      <x:c r="E11" s="12" t="n"/>
      <x:c r="F11" s="12" t="n"/>
      <x:c r="G11" s="12" t="n"/>
      <x:c r="H11" s="12" t="n"/>
      <x:c r="I11" s="12" t="n"/>
      <x:c r="J11" s="12" t="n"/>
      <x:c r="K11" s="12" t="n"/>
      <x:c r="L11" s="12" t="n"/>
      <x:c r="M11" s="12" t="n"/>
      <x:c r="N11" s="12" t="n"/>
      <x:c r="O11" s="12" t="n"/>
      <x:c r="P11" s="17">
        <x:f>IF($B11="","",MAX(0,40-$D11*Params!$B$2-$E11*Params!$B$3-IF($F11="是",Params!$B$4,0)-IF($G11="是",Params!$B$5,0)-IF($H11&gt;=1,Params!$B$6,0)-IF($I11&gt;90,Params!$B$8,IF($I11&gt;60,Params!$B$7,0))))</x:f>
      </x:c>
      <x:c r="Q11" s="17">
        <x:f>IF($B11="","",MAX(0,MIN(30,$J11+$K11+$L11)))</x:f>
      </x:c>
      <x:c r="R11" s="17">
        <x:f>IF($B11="","",MAX(0,MIN(30,$M11+$N11+$O11)))</x:f>
      </x:c>
      <x:c r="S11" s="17">
        <x:f>IF($B11="","",$P11+$Q11+$R11)</x:f>
      </x:c>
      <x:c r="T11" s="17">
        <x:f>IF($S11="","",IF($S11&gt;=90,"A+",IF($S11&gt;=80,"A",IF($S11&gt;=70,"B",IF($S11&gt;=60,"C","D")))))</x:f>
      </x:c>
      <x:c r="U11" s="17">
        <x:f>IF($T11="","",IF($T11="A+","正常合作 / 维持额度",IF($T11="A","正常合作 / 关注回款",IF($T11="B","控制新增赊销",IF($T11="C","降低额度 / 缩短账期","停供评估 / 法务关注")))))</x:f>
      </x:c>
      <x:c r="V11" s="13" t="n"/>
      <x:c r="W11" s="12" t="n"/>
    </x:row>
    <x:row r="12">
      <x:c r="A12" s="12" t="n"/>
      <x:c r="B12" s="12" t="n"/>
      <x:c r="C12" s="12" t="n"/>
      <x:c r="D12" s="12" t="n"/>
      <x:c r="E12" s="12" t="n"/>
      <x:c r="F12" s="12" t="n"/>
      <x:c r="G12" s="12" t="n"/>
      <x:c r="H12" s="12" t="n"/>
      <x:c r="I12" s="12" t="n"/>
      <x:c r="J12" s="12" t="n"/>
      <x:c r="K12" s="12" t="n"/>
      <x:c r="L12" s="12" t="n"/>
      <x:c r="M12" s="12" t="n"/>
      <x:c r="N12" s="12" t="n"/>
      <x:c r="O12" s="12" t="n"/>
      <x:c r="P12" s="17">
        <x:f>IF($B12="","",MAX(0,40-$D12*Params!$B$2-$E12*Params!$B$3-IF($F12="是",Params!$B$4,0)-IF($G12="是",Params!$B$5,0)-IF($H12&gt;=1,Params!$B$6,0)-IF($I12&gt;90,Params!$B$8,IF($I12&gt;60,Params!$B$7,0))))</x:f>
      </x:c>
      <x:c r="Q12" s="17">
        <x:f>IF($B12="","",MAX(0,MIN(30,$J12+$K12+$L12)))</x:f>
      </x:c>
      <x:c r="R12" s="17">
        <x:f>IF($B12="","",MAX(0,MIN(30,$M12+$N12+$O12)))</x:f>
      </x:c>
      <x:c r="S12" s="17">
        <x:f>IF($B12="","",$P12+$Q12+$R12)</x:f>
      </x:c>
      <x:c r="T12" s="17">
        <x:f>IF($S12="","",IF($S12&gt;=90,"A+",IF($S12&gt;=80,"A",IF($S12&gt;=70,"B",IF($S12&gt;=60,"C","D")))))</x:f>
      </x:c>
      <x:c r="U12" s="17">
        <x:f>IF($T12="","",IF($T12="A+","正常合作 / 维持额度",IF($T12="A","正常合作 / 关注回款",IF($T12="B","控制新增赊销",IF($T12="C","降低额度 / 缩短账期","停供评估 / 法务关注")))))</x:f>
      </x:c>
      <x:c r="V12" s="13" t="n"/>
      <x:c r="W12" s="12" t="n"/>
    </x:row>
    <x:row r="13">
      <x:c r="A13" s="12" t="n"/>
      <x:c r="B13" s="12" t="n"/>
      <x:c r="C13" s="12" t="n"/>
      <x:c r="D13" s="12" t="n"/>
      <x:c r="E13" s="12" t="n"/>
      <x:c r="F13" s="12" t="n"/>
      <x:c r="G13" s="12" t="n"/>
      <x:c r="H13" s="12" t="n"/>
      <x:c r="I13" s="12" t="n"/>
      <x:c r="J13" s="12" t="n"/>
      <x:c r="K13" s="12" t="n"/>
      <x:c r="L13" s="12" t="n"/>
      <x:c r="M13" s="12" t="n"/>
      <x:c r="N13" s="12" t="n"/>
      <x:c r="O13" s="12" t="n"/>
      <x:c r="P13" s="17">
        <x:f>IF($B13="","",MAX(0,40-$D13*Params!$B$2-$E13*Params!$B$3-IF($F13="是",Params!$B$4,0)-IF($G13="是",Params!$B$5,0)-IF($H13&gt;=1,Params!$B$6,0)-IF($I13&gt;90,Params!$B$8,IF($I13&gt;60,Params!$B$7,0))))</x:f>
      </x:c>
      <x:c r="Q13" s="17">
        <x:f>IF($B13="","",MAX(0,MIN(30,$J13+$K13+$L13)))</x:f>
      </x:c>
      <x:c r="R13" s="17">
        <x:f>IF($B13="","",MAX(0,MIN(30,$M13+$N13+$O13)))</x:f>
      </x:c>
      <x:c r="S13" s="17">
        <x:f>IF($B13="","",$P13+$Q13+$R13)</x:f>
      </x:c>
      <x:c r="T13" s="17">
        <x:f>IF($S13="","",IF($S13&gt;=90,"A+",IF($S13&gt;=80,"A",IF($S13&gt;=70,"B",IF($S13&gt;=60,"C","D")))))</x:f>
      </x:c>
      <x:c r="U13" s="17">
        <x:f>IF($T13="","",IF($T13="A+","正常合作 / 维持额度",IF($T13="A","正常合作 / 关注回款",IF($T13="B","控制新增赊销",IF($T13="C","降低额度 / 缩短账期","停供评估 / 法务关注")))))</x:f>
      </x:c>
      <x:c r="V13" s="13" t="n"/>
      <x:c r="W13" s="12" t="n"/>
    </x:row>
    <x:row r="14">
      <x:c r="A14" s="12" t="n"/>
      <x:c r="B14" s="12" t="n"/>
      <x:c r="C14" s="12" t="n"/>
      <x:c r="D14" s="12" t="n"/>
      <x:c r="E14" s="12" t="n"/>
      <x:c r="F14" s="12" t="n"/>
      <x:c r="G14" s="12" t="n"/>
      <x:c r="H14" s="12" t="n"/>
      <x:c r="I14" s="12" t="n"/>
      <x:c r="J14" s="12" t="n"/>
      <x:c r="K14" s="12" t="n"/>
      <x:c r="L14" s="12" t="n"/>
      <x:c r="M14" s="12" t="n"/>
      <x:c r="N14" s="12" t="n"/>
      <x:c r="O14" s="12" t="n"/>
      <x:c r="P14" s="17">
        <x:f>IF($B14="","",MAX(0,40-$D14*Params!$B$2-$E14*Params!$B$3-IF($F14="是",Params!$B$4,0)-IF($G14="是",Params!$B$5,0)-IF($H14&gt;=1,Params!$B$6,0)-IF($I14&gt;90,Params!$B$8,IF($I14&gt;60,Params!$B$7,0))))</x:f>
      </x:c>
      <x:c r="Q14" s="17">
        <x:f>IF($B14="","",MAX(0,MIN(30,$J14+$K14+$L14)))</x:f>
      </x:c>
      <x:c r="R14" s="17">
        <x:f>IF($B14="","",MAX(0,MIN(30,$M14+$N14+$O14)))</x:f>
      </x:c>
      <x:c r="S14" s="17">
        <x:f>IF($B14="","",$P14+$Q14+$R14)</x:f>
      </x:c>
      <x:c r="T14" s="17">
        <x:f>IF($S14="","",IF($S14&gt;=90,"A+",IF($S14&gt;=80,"A",IF($S14&gt;=70,"B",IF($S14&gt;=60,"C","D")))))</x:f>
      </x:c>
      <x:c r="U14" s="17">
        <x:f>IF($T14="","",IF($T14="A+","正常合作 / 维持额度",IF($T14="A","正常合作 / 关注回款",IF($T14="B","控制新增赊销",IF($T14="C","降低额度 / 缩短账期","停供评估 / 法务关注")))))</x:f>
      </x:c>
      <x:c r="V14" s="13" t="n"/>
      <x:c r="W14" s="12" t="n"/>
    </x:row>
    <x:row r="15">
      <x:c r="A15" s="12" t="n"/>
      <x:c r="B15" s="12" t="n"/>
      <x:c r="C15" s="12" t="n"/>
      <x:c r="D15" s="12" t="n"/>
      <x:c r="E15" s="12" t="n"/>
      <x:c r="F15" s="12" t="n"/>
      <x:c r="G15" s="12" t="n"/>
      <x:c r="H15" s="12" t="n"/>
      <x:c r="I15" s="12" t="n"/>
      <x:c r="J15" s="12" t="n"/>
      <x:c r="K15" s="12" t="n"/>
      <x:c r="L15" s="12" t="n"/>
      <x:c r="M15" s="12" t="n"/>
      <x:c r="N15" s="12" t="n"/>
      <x:c r="O15" s="12" t="n"/>
      <x:c r="P15" s="17">
        <x:f>IF($B15="","",MAX(0,40-$D15*Params!$B$2-$E15*Params!$B$3-IF($F15="是",Params!$B$4,0)-IF($G15="是",Params!$B$5,0)-IF($H15&gt;=1,Params!$B$6,0)-IF($I15&gt;90,Params!$B$8,IF($I15&gt;60,Params!$B$7,0))))</x:f>
      </x:c>
      <x:c r="Q15" s="17">
        <x:f>IF($B15="","",MAX(0,MIN(30,$J15+$K15+$L15)))</x:f>
      </x:c>
      <x:c r="R15" s="17">
        <x:f>IF($B15="","",MAX(0,MIN(30,$M15+$N15+$O15)))</x:f>
      </x:c>
      <x:c r="S15" s="17">
        <x:f>IF($B15="","",$P15+$Q15+$R15)</x:f>
      </x:c>
      <x:c r="T15" s="17">
        <x:f>IF($S15="","",IF($S15&gt;=90,"A+",IF($S15&gt;=80,"A",IF($S15&gt;=70,"B",IF($S15&gt;=60,"C","D")))))</x:f>
      </x:c>
      <x:c r="U15" s="17">
        <x:f>IF($T15="","",IF($T15="A+","正常合作 / 维持额度",IF($T15="A","正常合作 / 关注回款",IF($T15="B","控制新增赊销",IF($T15="C","降低额度 / 缩短账期","停供评估 / 法务关注")))))</x:f>
      </x:c>
      <x:c r="V15" s="13" t="n"/>
      <x:c r="W15" s="12" t="n"/>
    </x:row>
    <x:row r="16">
      <x:c r="A16" s="12" t="n"/>
      <x:c r="B16" s="12" t="n"/>
      <x:c r="C16" s="12" t="n"/>
      <x:c r="D16" s="12" t="n"/>
      <x:c r="E16" s="12" t="n"/>
      <x:c r="F16" s="12" t="n"/>
      <x:c r="G16" s="12" t="n"/>
      <x:c r="H16" s="12" t="n"/>
      <x:c r="I16" s="12" t="n"/>
      <x:c r="J16" s="12" t="n"/>
      <x:c r="K16" s="12" t="n"/>
      <x:c r="L16" s="12" t="n"/>
      <x:c r="M16" s="12" t="n"/>
      <x:c r="N16" s="12" t="n"/>
      <x:c r="O16" s="12" t="n"/>
      <x:c r="P16" s="17">
        <x:f>IF($B16="","",MAX(0,40-$D16*Params!$B$2-$E16*Params!$B$3-IF($F16="是",Params!$B$4,0)-IF($G16="是",Params!$B$5,0)-IF($H16&gt;=1,Params!$B$6,0)-IF($I16&gt;90,Params!$B$8,IF($I16&gt;60,Params!$B$7,0))))</x:f>
      </x:c>
      <x:c r="Q16" s="17">
        <x:f>IF($B16="","",MAX(0,MIN(30,$J16+$K16+$L16)))</x:f>
      </x:c>
      <x:c r="R16" s="17">
        <x:f>IF($B16="","",MAX(0,MIN(30,$M16+$N16+$O16)))</x:f>
      </x:c>
      <x:c r="S16" s="17">
        <x:f>IF($B16="","",$P16+$Q16+$R16)</x:f>
      </x:c>
      <x:c r="T16" s="17">
        <x:f>IF($S16="","",IF($S16&gt;=90,"A+",IF($S16&gt;=80,"A",IF($S16&gt;=70,"B",IF($S16&gt;=60,"C","D")))))</x:f>
      </x:c>
      <x:c r="U16" s="17">
        <x:f>IF($T16="","",IF($T16="A+","正常合作 / 维持额度",IF($T16="A","正常合作 / 关注回款",IF($T16="B","控制新增赊销",IF($T16="C","降低额度 / 缩短账期","停供评估 / 法务关注")))))</x:f>
      </x:c>
      <x:c r="V16" s="13" t="n"/>
      <x:c r="W16" s="12" t="n"/>
    </x:row>
    <x:row r="17">
      <x:c r="A17" s="12" t="n"/>
      <x:c r="B17" s="12" t="n"/>
      <x:c r="C17" s="12" t="n"/>
      <x:c r="D17" s="12" t="n"/>
      <x:c r="E17" s="12" t="n"/>
      <x:c r="F17" s="12" t="n"/>
      <x:c r="G17" s="12" t="n"/>
      <x:c r="H17" s="12" t="n"/>
      <x:c r="I17" s="12" t="n"/>
      <x:c r="J17" s="12" t="n"/>
      <x:c r="K17" s="12" t="n"/>
      <x:c r="L17" s="12" t="n"/>
      <x:c r="M17" s="12" t="n"/>
      <x:c r="N17" s="12" t="n"/>
      <x:c r="O17" s="12" t="n"/>
      <x:c r="P17" s="17">
        <x:f>IF($B17="","",MAX(0,40-$D17*Params!$B$2-$E17*Params!$B$3-IF($F17="是",Params!$B$4,0)-IF($G17="是",Params!$B$5,0)-IF($H17&gt;=1,Params!$B$6,0)-IF($I17&gt;90,Params!$B$8,IF($I17&gt;60,Params!$B$7,0))))</x:f>
      </x:c>
      <x:c r="Q17" s="17">
        <x:f>IF($B17="","",MAX(0,MIN(30,$J17+$K17+$L17)))</x:f>
      </x:c>
      <x:c r="R17" s="17">
        <x:f>IF($B17="","",MAX(0,MIN(30,$M17+$N17+$O17)))</x:f>
      </x:c>
      <x:c r="S17" s="17">
        <x:f>IF($B17="","",$P17+$Q17+$R17)</x:f>
      </x:c>
      <x:c r="T17" s="17">
        <x:f>IF($S17="","",IF($S17&gt;=90,"A+",IF($S17&gt;=80,"A",IF($S17&gt;=70,"B",IF($S17&gt;=60,"C","D")))))</x:f>
      </x:c>
      <x:c r="U17" s="17">
        <x:f>IF($T17="","",IF($T17="A+","正常合作 / 维持额度",IF($T17="A","正常合作 / 关注回款",IF($T17="B","控制新增赊销",IF($T17="C","降低额度 / 缩短账期","停供评估 / 法务关注")))))</x:f>
      </x:c>
      <x:c r="V17" s="13" t="n"/>
      <x:c r="W17" s="12" t="n"/>
    </x:row>
    <x:row r="18">
      <x:c r="A18" s="12" t="n"/>
      <x:c r="B18" s="12" t="n"/>
      <x:c r="C18" s="12" t="n"/>
      <x:c r="D18" s="12" t="n"/>
      <x:c r="E18" s="12" t="n"/>
      <x:c r="F18" s="12" t="n"/>
      <x:c r="G18" s="12" t="n"/>
      <x:c r="H18" s="12" t="n"/>
      <x:c r="I18" s="12" t="n"/>
      <x:c r="J18" s="12" t="n"/>
      <x:c r="K18" s="12" t="n"/>
      <x:c r="L18" s="12" t="n"/>
      <x:c r="M18" s="12" t="n"/>
      <x:c r="N18" s="12" t="n"/>
      <x:c r="O18" s="12" t="n"/>
      <x:c r="P18" s="17">
        <x:f>IF($B18="","",MAX(0,40-$D18*Params!$B$2-$E18*Params!$B$3-IF($F18="是",Params!$B$4,0)-IF($G18="是",Params!$B$5,0)-IF($H18&gt;=1,Params!$B$6,0)-IF($I18&gt;90,Params!$B$8,IF($I18&gt;60,Params!$B$7,0))))</x:f>
      </x:c>
      <x:c r="Q18" s="17">
        <x:f>IF($B18="","",MAX(0,MIN(30,$J18+$K18+$L18)))</x:f>
      </x:c>
      <x:c r="R18" s="17">
        <x:f>IF($B18="","",MAX(0,MIN(30,$M18+$N18+$O18)))</x:f>
      </x:c>
      <x:c r="S18" s="17">
        <x:f>IF($B18="","",$P18+$Q18+$R18)</x:f>
      </x:c>
      <x:c r="T18" s="17">
        <x:f>IF($S18="","",IF($S18&gt;=90,"A+",IF($S18&gt;=80,"A",IF($S18&gt;=70,"B",IF($S18&gt;=60,"C","D")))))</x:f>
      </x:c>
      <x:c r="U18" s="17">
        <x:f>IF($T18="","",IF($T18="A+","正常合作 / 维持额度",IF($T18="A","正常合作 / 关注回款",IF($T18="B","控制新增赊销",IF($T18="C","降低额度 / 缩短账期","停供评估 / 法务关注")))))</x:f>
      </x:c>
      <x:c r="V18" s="13" t="n"/>
      <x:c r="W18" s="12" t="n"/>
    </x:row>
    <x:row r="19">
      <x:c r="A19" s="12" t="n"/>
      <x:c r="B19" s="12" t="n"/>
      <x:c r="C19" s="12" t="n"/>
      <x:c r="D19" s="12" t="n"/>
      <x:c r="E19" s="12" t="n"/>
      <x:c r="F19" s="12" t="n"/>
      <x:c r="G19" s="12" t="n"/>
      <x:c r="H19" s="12" t="n"/>
      <x:c r="I19" s="12" t="n"/>
      <x:c r="J19" s="12" t="n"/>
      <x:c r="K19" s="12" t="n"/>
      <x:c r="L19" s="12" t="n"/>
      <x:c r="M19" s="12" t="n"/>
      <x:c r="N19" s="12" t="n"/>
      <x:c r="O19" s="12" t="n"/>
      <x:c r="P19" s="17">
        <x:f>IF($B19="","",MAX(0,40-$D19*Params!$B$2-$E19*Params!$B$3-IF($F19="是",Params!$B$4,0)-IF($G19="是",Params!$B$5,0)-IF($H19&gt;=1,Params!$B$6,0)-IF($I19&gt;90,Params!$B$8,IF($I19&gt;60,Params!$B$7,0))))</x:f>
      </x:c>
      <x:c r="Q19" s="17">
        <x:f>IF($B19="","",MAX(0,MIN(30,$J19+$K19+$L19)))</x:f>
      </x:c>
      <x:c r="R19" s="17">
        <x:f>IF($B19="","",MAX(0,MIN(30,$M19+$N19+$O19)))</x:f>
      </x:c>
      <x:c r="S19" s="17">
        <x:f>IF($B19="","",$P19+$Q19+$R19)</x:f>
      </x:c>
      <x:c r="T19" s="17">
        <x:f>IF($S19="","",IF($S19&gt;=90,"A+",IF($S19&gt;=80,"A",IF($S19&gt;=70,"B",IF($S19&gt;=60,"C","D")))))</x:f>
      </x:c>
      <x:c r="U19" s="17">
        <x:f>IF($T19="","",IF($T19="A+","正常合作 / 维持额度",IF($T19="A","正常合作 / 关注回款",IF($T19="B","控制新增赊销",IF($T19="C","降低额度 / 缩短账期","停供评估 / 法务关注")))))</x:f>
      </x:c>
      <x:c r="V19" s="13" t="n"/>
      <x:c r="W19" s="12" t="n"/>
    </x:row>
    <x:row r="20">
      <x:c r="A20" s="12" t="n"/>
      <x:c r="B20" s="12" t="n"/>
      <x:c r="C20" s="12" t="n"/>
      <x:c r="D20" s="12" t="n"/>
      <x:c r="E20" s="12" t="n"/>
      <x:c r="F20" s="12" t="n"/>
      <x:c r="G20" s="12" t="n"/>
      <x:c r="H20" s="12" t="n"/>
      <x:c r="I20" s="12" t="n"/>
      <x:c r="J20" s="12" t="n"/>
      <x:c r="K20" s="12" t="n"/>
      <x:c r="L20" s="12" t="n"/>
      <x:c r="M20" s="12" t="n"/>
      <x:c r="N20" s="12" t="n"/>
      <x:c r="O20" s="12" t="n"/>
      <x:c r="P20" s="17">
        <x:f>IF($B20="","",MAX(0,40-$D20*Params!$B$2-$E20*Params!$B$3-IF($F20="是",Params!$B$4,0)-IF($G20="是",Params!$B$5,0)-IF($H20&gt;=1,Params!$B$6,0)-IF($I20&gt;90,Params!$B$8,IF($I20&gt;60,Params!$B$7,0))))</x:f>
      </x:c>
      <x:c r="Q20" s="17">
        <x:f>IF($B20="","",MAX(0,MIN(30,$J20+$K20+$L20)))</x:f>
      </x:c>
      <x:c r="R20" s="17">
        <x:f>IF($B20="","",MAX(0,MIN(30,$M20+$N20+$O20)))</x:f>
      </x:c>
      <x:c r="S20" s="17">
        <x:f>IF($B20="","",$P20+$Q20+$R20)</x:f>
      </x:c>
      <x:c r="T20" s="17">
        <x:f>IF($S20="","",IF($S20&gt;=90,"A+",IF($S20&gt;=80,"A",IF($S20&gt;=70,"B",IF($S20&gt;=60,"C","D")))))</x:f>
      </x:c>
      <x:c r="U20" s="17">
        <x:f>IF($T20="","",IF($T20="A+","正常合作 / 维持额度",IF($T20="A","正常合作 / 关注回款",IF($T20="B","控制新增赊销",IF($T20="C","降低额度 / 缩短账期","停供评估 / 法务关注")))))</x:f>
      </x:c>
      <x:c r="V20" s="13" t="n"/>
      <x:c r="W20" s="12" t="n"/>
    </x:row>
    <x:row r="21">
      <x:c r="A21" s="12" t="n"/>
      <x:c r="B21" s="12" t="n"/>
      <x:c r="C21" s="12" t="n"/>
      <x:c r="D21" s="12" t="n"/>
      <x:c r="E21" s="12" t="n"/>
      <x:c r="F21" s="12" t="n"/>
      <x:c r="G21" s="12" t="n"/>
      <x:c r="H21" s="12" t="n"/>
      <x:c r="I21" s="12" t="n"/>
      <x:c r="J21" s="12" t="n"/>
      <x:c r="K21" s="12" t="n"/>
      <x:c r="L21" s="12" t="n"/>
      <x:c r="M21" s="12" t="n"/>
      <x:c r="N21" s="12" t="n"/>
      <x:c r="O21" s="12" t="n"/>
      <x:c r="P21" s="17">
        <x:f>IF($B21="","",MAX(0,40-$D21*Params!$B$2-$E21*Params!$B$3-IF($F21="是",Params!$B$4,0)-IF($G21="是",Params!$B$5,0)-IF($H21&gt;=1,Params!$B$6,0)-IF($I21&gt;90,Params!$B$8,IF($I21&gt;60,Params!$B$7,0))))</x:f>
      </x:c>
      <x:c r="Q21" s="17">
        <x:f>IF($B21="","",MAX(0,MIN(30,$J21+$K21+$L21)))</x:f>
      </x:c>
      <x:c r="R21" s="17">
        <x:f>IF($B21="","",MAX(0,MIN(30,$M21+$N21+$O21)))</x:f>
      </x:c>
      <x:c r="S21" s="17">
        <x:f>IF($B21="","",$P21+$Q21+$R21)</x:f>
      </x:c>
      <x:c r="T21" s="17">
        <x:f>IF($S21="","",IF($S21&gt;=90,"A+",IF($S21&gt;=80,"A",IF($S21&gt;=70,"B",IF($S21&gt;=60,"C","D")))))</x:f>
      </x:c>
      <x:c r="U21" s="17">
        <x:f>IF($T21="","",IF($T21="A+","正常合作 / 维持额度",IF($T21="A","正常合作 / 关注回款",IF($T21="B","控制新增赊销",IF($T21="C","降低额度 / 缩短账期","停供评估 / 法务关注")))))</x:f>
      </x:c>
      <x:c r="V21" s="13" t="n"/>
      <x:c r="W21" s="12" t="n"/>
    </x:row>
    <x:row r="22">
      <x:c r="A22" s="12" t="n"/>
      <x:c r="B22" s="12" t="n"/>
      <x:c r="C22" s="12" t="n"/>
      <x:c r="D22" s="12" t="n"/>
      <x:c r="E22" s="12" t="n"/>
      <x:c r="F22" s="12" t="n"/>
      <x:c r="G22" s="12" t="n"/>
      <x:c r="H22" s="12" t="n"/>
      <x:c r="I22" s="12" t="n"/>
      <x:c r="J22" s="12" t="n"/>
      <x:c r="K22" s="12" t="n"/>
      <x:c r="L22" s="12" t="n"/>
      <x:c r="M22" s="12" t="n"/>
      <x:c r="N22" s="12" t="n"/>
      <x:c r="O22" s="12" t="n"/>
      <x:c r="P22" s="17">
        <x:f>IF($B22="","",MAX(0,40-$D22*Params!$B$2-$E22*Params!$B$3-IF($F22="是",Params!$B$4,0)-IF($G22="是",Params!$B$5,0)-IF($H22&gt;=1,Params!$B$6,0)-IF($I22&gt;90,Params!$B$8,IF($I22&gt;60,Params!$B$7,0))))</x:f>
      </x:c>
      <x:c r="Q22" s="17">
        <x:f>IF($B22="","",MAX(0,MIN(30,$J22+$K22+$L22)))</x:f>
      </x:c>
      <x:c r="R22" s="17">
        <x:f>IF($B22="","",MAX(0,MIN(30,$M22+$N22+$O22)))</x:f>
      </x:c>
      <x:c r="S22" s="17">
        <x:f>IF($B22="","",$P22+$Q22+$R22)</x:f>
      </x:c>
      <x:c r="T22" s="17">
        <x:f>IF($S22="","",IF($S22&gt;=90,"A+",IF($S22&gt;=80,"A",IF($S22&gt;=70,"B",IF($S22&gt;=60,"C","D")))))</x:f>
      </x:c>
      <x:c r="U22" s="17">
        <x:f>IF($T22="","",IF($T22="A+","正常合作 / 维持额度",IF($T22="A","正常合作 / 关注回款",IF($T22="B","控制新增赊销",IF($T22="C","降低额度 / 缩短账期","停供评估 / 法务关注")))))</x:f>
      </x:c>
      <x:c r="V22" s="13" t="n"/>
      <x:c r="W22" s="12" t="n"/>
    </x:row>
    <x:row r="23">
      <x:c r="A23" s="12" t="n"/>
      <x:c r="B23" s="12" t="n"/>
      <x:c r="C23" s="12" t="n"/>
      <x:c r="D23" s="12" t="n"/>
      <x:c r="E23" s="12" t="n"/>
      <x:c r="F23" s="12" t="n"/>
      <x:c r="G23" s="12" t="n"/>
      <x:c r="H23" s="12" t="n"/>
      <x:c r="I23" s="12" t="n"/>
      <x:c r="J23" s="12" t="n"/>
      <x:c r="K23" s="12" t="n"/>
      <x:c r="L23" s="12" t="n"/>
      <x:c r="M23" s="12" t="n"/>
      <x:c r="N23" s="12" t="n"/>
      <x:c r="O23" s="12" t="n"/>
      <x:c r="P23" s="17">
        <x:f>IF($B23="","",MAX(0,40-$D23*Params!$B$2-$E23*Params!$B$3-IF($F23="是",Params!$B$4,0)-IF($G23="是",Params!$B$5,0)-IF($H23&gt;=1,Params!$B$6,0)-IF($I23&gt;90,Params!$B$8,IF($I23&gt;60,Params!$B$7,0))))</x:f>
      </x:c>
      <x:c r="Q23" s="17">
        <x:f>IF($B23="","",MAX(0,MIN(30,$J23+$K23+$L23)))</x:f>
      </x:c>
      <x:c r="R23" s="17">
        <x:f>IF($B23="","",MAX(0,MIN(30,$M23+$N23+$O23)))</x:f>
      </x:c>
      <x:c r="S23" s="17">
        <x:f>IF($B23="","",$P23+$Q23+$R23)</x:f>
      </x:c>
      <x:c r="T23" s="17">
        <x:f>IF($S23="","",IF($S23&gt;=90,"A+",IF($S23&gt;=80,"A",IF($S23&gt;=70,"B",IF($S23&gt;=60,"C","D")))))</x:f>
      </x:c>
      <x:c r="U23" s="17">
        <x:f>IF($T23="","",IF($T23="A+","正常合作 / 维持额度",IF($T23="A","正常合作 / 关注回款",IF($T23="B","控制新增赊销",IF($T23="C","降低额度 / 缩短账期","停供评估 / 法务关注")))))</x:f>
      </x:c>
      <x:c r="V23" s="13" t="n"/>
      <x:c r="W23" s="12" t="n"/>
    </x:row>
    <x:row r="24">
      <x:c r="A24" s="12" t="n"/>
      <x:c r="B24" s="12" t="n"/>
      <x:c r="C24" s="12" t="n"/>
      <x:c r="D24" s="12" t="n"/>
      <x:c r="E24" s="12" t="n"/>
      <x:c r="F24" s="12" t="n"/>
      <x:c r="G24" s="12" t="n"/>
      <x:c r="H24" s="12" t="n"/>
      <x:c r="I24" s="12" t="n"/>
      <x:c r="J24" s="12" t="n"/>
      <x:c r="K24" s="12" t="n"/>
      <x:c r="L24" s="12" t="n"/>
      <x:c r="M24" s="12" t="n"/>
      <x:c r="N24" s="12" t="n"/>
      <x:c r="O24" s="12" t="n"/>
      <x:c r="P24" s="17">
        <x:f>IF($B24="","",MAX(0,40-$D24*Params!$B$2-$E24*Params!$B$3-IF($F24="是",Params!$B$4,0)-IF($G24="是",Params!$B$5,0)-IF($H24&gt;=1,Params!$B$6,0)-IF($I24&gt;90,Params!$B$8,IF($I24&gt;60,Params!$B$7,0))))</x:f>
      </x:c>
      <x:c r="Q24" s="17">
        <x:f>IF($B24="","",MAX(0,MIN(30,$J24+$K24+$L24)))</x:f>
      </x:c>
      <x:c r="R24" s="17">
        <x:f>IF($B24="","",MAX(0,MIN(30,$M24+$N24+$O24)))</x:f>
      </x:c>
      <x:c r="S24" s="17">
        <x:f>IF($B24="","",$P24+$Q24+$R24)</x:f>
      </x:c>
      <x:c r="T24" s="17">
        <x:f>IF($S24="","",IF($S24&gt;=90,"A+",IF($S24&gt;=80,"A",IF($S24&gt;=70,"B",IF($S24&gt;=60,"C","D")))))</x:f>
      </x:c>
      <x:c r="U24" s="17">
        <x:f>IF($T24="","",IF($T24="A+","正常合作 / 维持额度",IF($T24="A","正常合作 / 关注回款",IF($T24="B","控制新增赊销",IF($T24="C","降低额度 / 缩短账期","停供评估 / 法务关注")))))</x:f>
      </x:c>
      <x:c r="V24" s="13" t="n"/>
      <x:c r="W24" s="12" t="n"/>
    </x:row>
    <x:row r="25">
      <x:c r="A25" s="12" t="n"/>
      <x:c r="B25" s="12" t="n"/>
      <x:c r="C25" s="12" t="n"/>
      <x:c r="D25" s="12" t="n"/>
      <x:c r="E25" s="12" t="n"/>
      <x:c r="F25" s="12" t="n"/>
      <x:c r="G25" s="12" t="n"/>
      <x:c r="H25" s="12" t="n"/>
      <x:c r="I25" s="12" t="n"/>
      <x:c r="J25" s="12" t="n"/>
      <x:c r="K25" s="12" t="n"/>
      <x:c r="L25" s="12" t="n"/>
      <x:c r="M25" s="12" t="n"/>
      <x:c r="N25" s="12" t="n"/>
      <x:c r="O25" s="12" t="n"/>
      <x:c r="P25" s="17">
        <x:f>IF($B25="","",MAX(0,40-$D25*Params!$B$2-$E25*Params!$B$3-IF($F25="是",Params!$B$4,0)-IF($G25="是",Params!$B$5,0)-IF($H25&gt;=1,Params!$B$6,0)-IF($I25&gt;90,Params!$B$8,IF($I25&gt;60,Params!$B$7,0))))</x:f>
      </x:c>
      <x:c r="Q25" s="17">
        <x:f>IF($B25="","",MAX(0,MIN(30,$J25+$K25+$L25)))</x:f>
      </x:c>
      <x:c r="R25" s="17">
        <x:f>IF($B25="","",MAX(0,MIN(30,$M25+$N25+$O25)))</x:f>
      </x:c>
      <x:c r="S25" s="17">
        <x:f>IF($B25="","",$P25+$Q25+$R25)</x:f>
      </x:c>
      <x:c r="T25" s="17">
        <x:f>IF($S25="","",IF($S25&gt;=90,"A+",IF($S25&gt;=80,"A",IF($S25&gt;=70,"B",IF($S25&gt;=60,"C","D")))))</x:f>
      </x:c>
      <x:c r="U25" s="17">
        <x:f>IF($T25="","",IF($T25="A+","正常合作 / 维持额度",IF($T25="A","正常合作 / 关注回款",IF($T25="B","控制新增赊销",IF($T25="C","降低额度 / 缩短账期","停供评估 / 法务关注")))))</x:f>
      </x:c>
      <x:c r="V25" s="13" t="n"/>
      <x:c r="W25" s="12" t="n"/>
    </x:row>
    <x:row r="26">
      <x:c r="A26" s="12" t="n"/>
      <x:c r="B26" s="12" t="n"/>
      <x:c r="C26" s="12" t="n"/>
      <x:c r="D26" s="12" t="n"/>
      <x:c r="E26" s="12" t="n"/>
      <x:c r="F26" s="12" t="n"/>
      <x:c r="G26" s="12" t="n"/>
      <x:c r="H26" s="12" t="n"/>
      <x:c r="I26" s="12" t="n"/>
      <x:c r="J26" s="12" t="n"/>
      <x:c r="K26" s="12" t="n"/>
      <x:c r="L26" s="12" t="n"/>
      <x:c r="M26" s="12" t="n"/>
      <x:c r="N26" s="12" t="n"/>
      <x:c r="O26" s="12" t="n"/>
      <x:c r="P26" s="17">
        <x:f>IF($B26="","",MAX(0,40-$D26*Params!$B$2-$E26*Params!$B$3-IF($F26="是",Params!$B$4,0)-IF($G26="是",Params!$B$5,0)-IF($H26&gt;=1,Params!$B$6,0)-IF($I26&gt;90,Params!$B$8,IF($I26&gt;60,Params!$B$7,0))))</x:f>
      </x:c>
      <x:c r="Q26" s="17">
        <x:f>IF($B26="","",MAX(0,MIN(30,$J26+$K26+$L26)))</x:f>
      </x:c>
      <x:c r="R26" s="17">
        <x:f>IF($B26="","",MAX(0,MIN(30,$M26+$N26+$O26)))</x:f>
      </x:c>
      <x:c r="S26" s="17">
        <x:f>IF($B26="","",$P26+$Q26+$R26)</x:f>
      </x:c>
      <x:c r="T26" s="17">
        <x:f>IF($S26="","",IF($S26&gt;=90,"A+",IF($S26&gt;=80,"A",IF($S26&gt;=70,"B",IF($S26&gt;=60,"C","D")))))</x:f>
      </x:c>
      <x:c r="U26" s="17">
        <x:f>IF($T26="","",IF($T26="A+","正常合作 / 维持额度",IF($T26="A","正常合作 / 关注回款",IF($T26="B","控制新增赊销",IF($T26="C","降低额度 / 缩短账期","停供评估 / 法务关注")))))</x:f>
      </x:c>
      <x:c r="V26" s="13" t="n"/>
      <x:c r="W26" s="12" t="n"/>
    </x:row>
    <x:row r="27">
      <x:c r="A27" s="12" t="n"/>
      <x:c r="B27" s="12" t="n"/>
      <x:c r="C27" s="12" t="n"/>
      <x:c r="D27" s="12" t="n"/>
      <x:c r="E27" s="12" t="n"/>
      <x:c r="F27" s="12" t="n"/>
      <x:c r="G27" s="12" t="n"/>
      <x:c r="H27" s="12" t="n"/>
      <x:c r="I27" s="12" t="n"/>
      <x:c r="J27" s="12" t="n"/>
      <x:c r="K27" s="12" t="n"/>
      <x:c r="L27" s="12" t="n"/>
      <x:c r="M27" s="12" t="n"/>
      <x:c r="N27" s="12" t="n"/>
      <x:c r="O27" s="12" t="n"/>
      <x:c r="P27" s="17">
        <x:f>IF($B27="","",MAX(0,40-$D27*Params!$B$2-$E27*Params!$B$3-IF($F27="是",Params!$B$4,0)-IF($G27="是",Params!$B$5,0)-IF($H27&gt;=1,Params!$B$6,0)-IF($I27&gt;90,Params!$B$8,IF($I27&gt;60,Params!$B$7,0))))</x:f>
      </x:c>
      <x:c r="Q27" s="17">
        <x:f>IF($B27="","",MAX(0,MIN(30,$J27+$K27+$L27)))</x:f>
      </x:c>
      <x:c r="R27" s="17">
        <x:f>IF($B27="","",MAX(0,MIN(30,$M27+$N27+$O27)))</x:f>
      </x:c>
      <x:c r="S27" s="17">
        <x:f>IF($B27="","",$P27+$Q27+$R27)</x:f>
      </x:c>
      <x:c r="T27" s="17">
        <x:f>IF($S27="","",IF($S27&gt;=90,"A+",IF($S27&gt;=80,"A",IF($S27&gt;=70,"B",IF($S27&gt;=60,"C","D")))))</x:f>
      </x:c>
      <x:c r="U27" s="17">
        <x:f>IF($T27="","",IF($T27="A+","正常合作 / 维持额度",IF($T27="A","正常合作 / 关注回款",IF($T27="B","控制新增赊销",IF($T27="C","降低额度 / 缩短账期","停供评估 / 法务关注")))))</x:f>
      </x:c>
      <x:c r="V27" s="13" t="n"/>
      <x:c r="W27" s="12" t="n"/>
    </x:row>
    <x:row r="28">
      <x:c r="A28" s="12" t="n"/>
      <x:c r="B28" s="12" t="n"/>
      <x:c r="C28" s="12" t="n"/>
      <x:c r="D28" s="12" t="n"/>
      <x:c r="E28" s="12" t="n"/>
      <x:c r="F28" s="12" t="n"/>
      <x:c r="G28" s="12" t="n"/>
      <x:c r="H28" s="12" t="n"/>
      <x:c r="I28" s="12" t="n"/>
      <x:c r="J28" s="12" t="n"/>
      <x:c r="K28" s="12" t="n"/>
      <x:c r="L28" s="12" t="n"/>
      <x:c r="M28" s="12" t="n"/>
      <x:c r="N28" s="12" t="n"/>
      <x:c r="O28" s="12" t="n"/>
      <x:c r="P28" s="17">
        <x:f>IF($B28="","",MAX(0,40-$D28*Params!$B$2-$E28*Params!$B$3-IF($F28="是",Params!$B$4,0)-IF($G28="是",Params!$B$5,0)-IF($H28&gt;=1,Params!$B$6,0)-IF($I28&gt;90,Params!$B$8,IF($I28&gt;60,Params!$B$7,0))))</x:f>
      </x:c>
      <x:c r="Q28" s="17">
        <x:f>IF($B28="","",MAX(0,MIN(30,$J28+$K28+$L28)))</x:f>
      </x:c>
      <x:c r="R28" s="17">
        <x:f>IF($B28="","",MAX(0,MIN(30,$M28+$N28+$O28)))</x:f>
      </x:c>
      <x:c r="S28" s="17">
        <x:f>IF($B28="","",$P28+$Q28+$R28)</x:f>
      </x:c>
      <x:c r="T28" s="17">
        <x:f>IF($S28="","",IF($S28&gt;=90,"A+",IF($S28&gt;=80,"A",IF($S28&gt;=70,"B",IF($S28&gt;=60,"C","D")))))</x:f>
      </x:c>
      <x:c r="U28" s="17">
        <x:f>IF($T28="","",IF($T28="A+","正常合作 / 维持额度",IF($T28="A","正常合作 / 关注回款",IF($T28="B","控制新增赊销",IF($T28="C","降低额度 / 缩短账期","停供评估 / 法务关注")))))</x:f>
      </x:c>
      <x:c r="V28" s="13" t="n"/>
      <x:c r="W28" s="12" t="n"/>
    </x:row>
    <x:row r="29">
      <x:c r="A29" s="12" t="n"/>
      <x:c r="B29" s="12" t="n"/>
      <x:c r="C29" s="12" t="n"/>
      <x:c r="D29" s="12" t="n"/>
      <x:c r="E29" s="12" t="n"/>
      <x:c r="F29" s="12" t="n"/>
      <x:c r="G29" s="12" t="n"/>
      <x:c r="H29" s="12" t="n"/>
      <x:c r="I29" s="12" t="n"/>
      <x:c r="J29" s="12" t="n"/>
      <x:c r="K29" s="12" t="n"/>
      <x:c r="L29" s="12" t="n"/>
      <x:c r="M29" s="12" t="n"/>
      <x:c r="N29" s="12" t="n"/>
      <x:c r="O29" s="12" t="n"/>
      <x:c r="P29" s="17">
        <x:f>IF($B29="","",MAX(0,40-$D29*Params!$B$2-$E29*Params!$B$3-IF($F29="是",Params!$B$4,0)-IF($G29="是",Params!$B$5,0)-IF($H29&gt;=1,Params!$B$6,0)-IF($I29&gt;90,Params!$B$8,IF($I29&gt;60,Params!$B$7,0))))</x:f>
      </x:c>
      <x:c r="Q29" s="17">
        <x:f>IF($B29="","",MAX(0,MIN(30,$J29+$K29+$L29)))</x:f>
      </x:c>
      <x:c r="R29" s="17">
        <x:f>IF($B29="","",MAX(0,MIN(30,$M29+$N29+$O29)))</x:f>
      </x:c>
      <x:c r="S29" s="17">
        <x:f>IF($B29="","",$P29+$Q29+$R29)</x:f>
      </x:c>
      <x:c r="T29" s="17">
        <x:f>IF($S29="","",IF($S29&gt;=90,"A+",IF($S29&gt;=80,"A",IF($S29&gt;=70,"B",IF($S29&gt;=60,"C","D")))))</x:f>
      </x:c>
      <x:c r="U29" s="17">
        <x:f>IF($T29="","",IF($T29="A+","正常合作 / 维持额度",IF($T29="A","正常合作 / 关注回款",IF($T29="B","控制新增赊销",IF($T29="C","降低额度 / 缩短账期","停供评估 / 法务关注")))))</x:f>
      </x:c>
      <x:c r="V29" s="13" t="n"/>
      <x:c r="W29" s="12" t="n"/>
    </x:row>
    <x:row r="30">
      <x:c r="A30" s="12" t="n"/>
      <x:c r="B30" s="12" t="n"/>
      <x:c r="C30" s="12" t="n"/>
      <x:c r="D30" s="12" t="n"/>
      <x:c r="E30" s="12" t="n"/>
      <x:c r="F30" s="12" t="n"/>
      <x:c r="G30" s="12" t="n"/>
      <x:c r="H30" s="12" t="n"/>
      <x:c r="I30" s="12" t="n"/>
      <x:c r="J30" s="12" t="n"/>
      <x:c r="K30" s="12" t="n"/>
      <x:c r="L30" s="12" t="n"/>
      <x:c r="M30" s="12" t="n"/>
      <x:c r="N30" s="12" t="n"/>
      <x:c r="O30" s="12" t="n"/>
      <x:c r="P30" s="17">
        <x:f>IF($B30="","",MAX(0,40-$D30*Params!$B$2-$E30*Params!$B$3-IF($F30="是",Params!$B$4,0)-IF($G30="是",Params!$B$5,0)-IF($H30&gt;=1,Params!$B$6,0)-IF($I30&gt;90,Params!$B$8,IF($I30&gt;60,Params!$B$7,0))))</x:f>
      </x:c>
      <x:c r="Q30" s="17">
        <x:f>IF($B30="","",MAX(0,MIN(30,$J30+$K30+$L30)))</x:f>
      </x:c>
      <x:c r="R30" s="17">
        <x:f>IF($B30="","",MAX(0,MIN(30,$M30+$N30+$O30)))</x:f>
      </x:c>
      <x:c r="S30" s="17">
        <x:f>IF($B30="","",$P30+$Q30+$R30)</x:f>
      </x:c>
      <x:c r="T30" s="17">
        <x:f>IF($S30="","",IF($S30&gt;=90,"A+",IF($S30&gt;=80,"A",IF($S30&gt;=70,"B",IF($S30&gt;=60,"C","D")))))</x:f>
      </x:c>
      <x:c r="U30" s="17">
        <x:f>IF($T30="","",IF($T30="A+","正常合作 / 维持额度",IF($T30="A","正常合作 / 关注回款",IF($T30="B","控制新增赊销",IF($T30="C","降低额度 / 缩短账期","停供评估 / 法务关注")))))</x:f>
      </x:c>
      <x:c r="V30" s="13" t="n"/>
      <x:c r="W30" s="12" t="n"/>
    </x:row>
    <x:row r="31">
      <x:c r="A31" s="12" t="n"/>
      <x:c r="B31" s="12" t="n"/>
      <x:c r="C31" s="12" t="n"/>
      <x:c r="D31" s="12" t="n"/>
      <x:c r="E31" s="12" t="n"/>
      <x:c r="F31" s="12" t="n"/>
      <x:c r="G31" s="12" t="n"/>
      <x:c r="H31" s="12" t="n"/>
      <x:c r="I31" s="12" t="n"/>
      <x:c r="J31" s="12" t="n"/>
      <x:c r="K31" s="12" t="n"/>
      <x:c r="L31" s="12" t="n"/>
      <x:c r="M31" s="12" t="n"/>
      <x:c r="N31" s="12" t="n"/>
      <x:c r="O31" s="12" t="n"/>
      <x:c r="P31" s="17">
        <x:f>IF($B31="","",MAX(0,40-$D31*Params!$B$2-$E31*Params!$B$3-IF($F31="是",Params!$B$4,0)-IF($G31="是",Params!$B$5,0)-IF($H31&gt;=1,Params!$B$6,0)-IF($I31&gt;90,Params!$B$8,IF($I31&gt;60,Params!$B$7,0))))</x:f>
      </x:c>
      <x:c r="Q31" s="17">
        <x:f>IF($B31="","",MAX(0,MIN(30,$J31+$K31+$L31)))</x:f>
      </x:c>
      <x:c r="R31" s="17">
        <x:f>IF($B31="","",MAX(0,MIN(30,$M31+$N31+$O31)))</x:f>
      </x:c>
      <x:c r="S31" s="17">
        <x:f>IF($B31="","",$P31+$Q31+$R31)</x:f>
      </x:c>
      <x:c r="T31" s="17">
        <x:f>IF($S31="","",IF($S31&gt;=90,"A+",IF($S31&gt;=80,"A",IF($S31&gt;=70,"B",IF($S31&gt;=60,"C","D")))))</x:f>
      </x:c>
      <x:c r="U31" s="17">
        <x:f>IF($T31="","",IF($T31="A+","正常合作 / 维持额度",IF($T31="A","正常合作 / 关注回款",IF($T31="B","控制新增赊销",IF($T31="C","降低额度 / 缩短账期","停供评估 / 法务关注")))))</x:f>
      </x:c>
      <x:c r="V31" s="13" t="n"/>
      <x:c r="W31" s="12" t="n"/>
    </x:row>
    <x:row r="32">
      <x:c r="A32" s="12" t="n"/>
      <x:c r="B32" s="12" t="n"/>
      <x:c r="C32" s="12" t="n"/>
      <x:c r="D32" s="12" t="n"/>
      <x:c r="E32" s="12" t="n"/>
      <x:c r="F32" s="12" t="n"/>
      <x:c r="G32" s="12" t="n"/>
      <x:c r="H32" s="12" t="n"/>
      <x:c r="I32" s="12" t="n"/>
      <x:c r="J32" s="12" t="n"/>
      <x:c r="K32" s="12" t="n"/>
      <x:c r="L32" s="12" t="n"/>
      <x:c r="M32" s="12" t="n"/>
      <x:c r="N32" s="12" t="n"/>
      <x:c r="O32" s="12" t="n"/>
      <x:c r="P32" s="17">
        <x:f>IF($B32="","",MAX(0,40-$D32*Params!$B$2-$E32*Params!$B$3-IF($F32="是",Params!$B$4,0)-IF($G32="是",Params!$B$5,0)-IF($H32&gt;=1,Params!$B$6,0)-IF($I32&gt;90,Params!$B$8,IF($I32&gt;60,Params!$B$7,0))))</x:f>
      </x:c>
      <x:c r="Q32" s="17">
        <x:f>IF($B32="","",MAX(0,MIN(30,$J32+$K32+$L32)))</x:f>
      </x:c>
      <x:c r="R32" s="17">
        <x:f>IF($B32="","",MAX(0,MIN(30,$M32+$N32+$O32)))</x:f>
      </x:c>
      <x:c r="S32" s="17">
        <x:f>IF($B32="","",$P32+$Q32+$R32)</x:f>
      </x:c>
      <x:c r="T32" s="17">
        <x:f>IF($S32="","",IF($S32&gt;=90,"A+",IF($S32&gt;=80,"A",IF($S32&gt;=70,"B",IF($S32&gt;=60,"C","D")))))</x:f>
      </x:c>
      <x:c r="U32" s="17">
        <x:f>IF($T32="","",IF($T32="A+","正常合作 / 维持额度",IF($T32="A","正常合作 / 关注回款",IF($T32="B","控制新增赊销",IF($T32="C","降低额度 / 缩短账期","停供评估 / 法务关注")))))</x:f>
      </x:c>
      <x:c r="V32" s="13" t="n"/>
      <x:c r="W32" s="12" t="n"/>
    </x:row>
    <x:row r="33">
      <x:c r="A33" s="12" t="n"/>
      <x:c r="B33" s="12" t="n"/>
      <x:c r="C33" s="12" t="n"/>
      <x:c r="D33" s="12" t="n"/>
      <x:c r="E33" s="12" t="n"/>
      <x:c r="F33" s="12" t="n"/>
      <x:c r="G33" s="12" t="n"/>
      <x:c r="H33" s="12" t="n"/>
      <x:c r="I33" s="12" t="n"/>
      <x:c r="J33" s="12" t="n"/>
      <x:c r="K33" s="12" t="n"/>
      <x:c r="L33" s="12" t="n"/>
      <x:c r="M33" s="12" t="n"/>
      <x:c r="N33" s="12" t="n"/>
      <x:c r="O33" s="12" t="n"/>
      <x:c r="P33" s="17">
        <x:f>IF($B33="","",MAX(0,40-$D33*Params!$B$2-$E33*Params!$B$3-IF($F33="是",Params!$B$4,0)-IF($G33="是",Params!$B$5,0)-IF($H33&gt;=1,Params!$B$6,0)-IF($I33&gt;90,Params!$B$8,IF($I33&gt;60,Params!$B$7,0))))</x:f>
      </x:c>
      <x:c r="Q33" s="17">
        <x:f>IF($B33="","",MAX(0,MIN(30,$J33+$K33+$L33)))</x:f>
      </x:c>
      <x:c r="R33" s="17">
        <x:f>IF($B33="","",MAX(0,MIN(30,$M33+$N33+$O33)))</x:f>
      </x:c>
      <x:c r="S33" s="17">
        <x:f>IF($B33="","",$P33+$Q33+$R33)</x:f>
      </x:c>
      <x:c r="T33" s="17">
        <x:f>IF($S33="","",IF($S33&gt;=90,"A+",IF($S33&gt;=80,"A",IF($S33&gt;=70,"B",IF($S33&gt;=60,"C","D")))))</x:f>
      </x:c>
      <x:c r="U33" s="17">
        <x:f>IF($T33="","",IF($T33="A+","正常合作 / 维持额度",IF($T33="A","正常合作 / 关注回款",IF($T33="B","控制新增赊销",IF($T33="C","降低额度 / 缩短账期","停供评估 / 法务关注")))))</x:f>
      </x:c>
      <x:c r="V33" s="13" t="n"/>
      <x:c r="W33" s="12" t="n"/>
    </x:row>
    <x:row r="34">
      <x:c r="A34" s="12" t="n"/>
      <x:c r="B34" s="12" t="n"/>
      <x:c r="C34" s="12" t="n"/>
      <x:c r="D34" s="12" t="n"/>
      <x:c r="E34" s="12" t="n"/>
      <x:c r="F34" s="12" t="n"/>
      <x:c r="G34" s="12" t="n"/>
      <x:c r="H34" s="12" t="n"/>
      <x:c r="I34" s="12" t="n"/>
      <x:c r="J34" s="12" t="n"/>
      <x:c r="K34" s="12" t="n"/>
      <x:c r="L34" s="12" t="n"/>
      <x:c r="M34" s="12" t="n"/>
      <x:c r="N34" s="12" t="n"/>
      <x:c r="O34" s="12" t="n"/>
      <x:c r="P34" s="17">
        <x:f>IF($B34="","",MAX(0,40-$D34*Params!$B$2-$E34*Params!$B$3-IF($F34="是",Params!$B$4,0)-IF($G34="是",Params!$B$5,0)-IF($H34&gt;=1,Params!$B$6,0)-IF($I34&gt;90,Params!$B$8,IF($I34&gt;60,Params!$B$7,0))))</x:f>
      </x:c>
      <x:c r="Q34" s="17">
        <x:f>IF($B34="","",MAX(0,MIN(30,$J34+$K34+$L34)))</x:f>
      </x:c>
      <x:c r="R34" s="17">
        <x:f>IF($B34="","",MAX(0,MIN(30,$M34+$N34+$O34)))</x:f>
      </x:c>
      <x:c r="S34" s="17">
        <x:f>IF($B34="","",$P34+$Q34+$R34)</x:f>
      </x:c>
      <x:c r="T34" s="17">
        <x:f>IF($S34="","",IF($S34&gt;=90,"A+",IF($S34&gt;=80,"A",IF($S34&gt;=70,"B",IF($S34&gt;=60,"C","D")))))</x:f>
      </x:c>
      <x:c r="U34" s="17">
        <x:f>IF($T34="","",IF($T34="A+","正常合作 / 维持额度",IF($T34="A","正常合作 / 关注回款",IF($T34="B","控制新增赊销",IF($T34="C","降低额度 / 缩短账期","停供评估 / 法务关注")))))</x:f>
      </x:c>
      <x:c r="V34" s="13" t="n"/>
      <x:c r="W34" s="12" t="n"/>
    </x:row>
    <x:row r="35">
      <x:c r="A35" s="12" t="n"/>
      <x:c r="B35" s="12" t="n"/>
      <x:c r="C35" s="12" t="n"/>
      <x:c r="D35" s="12" t="n"/>
      <x:c r="E35" s="12" t="n"/>
      <x:c r="F35" s="12" t="n"/>
      <x:c r="G35" s="12" t="n"/>
      <x:c r="H35" s="12" t="n"/>
      <x:c r="I35" s="12" t="n"/>
      <x:c r="J35" s="12" t="n"/>
      <x:c r="K35" s="12" t="n"/>
      <x:c r="L35" s="12" t="n"/>
      <x:c r="M35" s="12" t="n"/>
      <x:c r="N35" s="12" t="n"/>
      <x:c r="O35" s="12" t="n"/>
      <x:c r="P35" s="17">
        <x:f>IF($B35="","",MAX(0,40-$D35*Params!$B$2-$E35*Params!$B$3-IF($F35="是",Params!$B$4,0)-IF($G35="是",Params!$B$5,0)-IF($H35&gt;=1,Params!$B$6,0)-IF($I35&gt;90,Params!$B$8,IF($I35&gt;60,Params!$B$7,0))))</x:f>
      </x:c>
      <x:c r="Q35" s="17">
        <x:f>IF($B35="","",MAX(0,MIN(30,$J35+$K35+$L35)))</x:f>
      </x:c>
      <x:c r="R35" s="17">
        <x:f>IF($B35="","",MAX(0,MIN(30,$M35+$N35+$O35)))</x:f>
      </x:c>
      <x:c r="S35" s="17">
        <x:f>IF($B35="","",$P35+$Q35+$R35)</x:f>
      </x:c>
      <x:c r="T35" s="17">
        <x:f>IF($S35="","",IF($S35&gt;=90,"A+",IF($S35&gt;=80,"A",IF($S35&gt;=70,"B",IF($S35&gt;=60,"C","D")))))</x:f>
      </x:c>
      <x:c r="U35" s="17">
        <x:f>IF($T35="","",IF($T35="A+","正常合作 / 维持额度",IF($T35="A","正常合作 / 关注回款",IF($T35="B","控制新增赊销",IF($T35="C","降低额度 / 缩短账期","停供评估 / 法务关注")))))</x:f>
      </x:c>
      <x:c r="V35" s="13" t="n"/>
      <x:c r="W35" s="12" t="n"/>
    </x:row>
    <x:row r="36">
      <x:c r="A36" s="12" t="n"/>
      <x:c r="B36" s="12" t="n"/>
      <x:c r="C36" s="12" t="n"/>
      <x:c r="D36" s="12" t="n"/>
      <x:c r="E36" s="12" t="n"/>
      <x:c r="F36" s="12" t="n"/>
      <x:c r="G36" s="12" t="n"/>
      <x:c r="H36" s="12" t="n"/>
      <x:c r="I36" s="12" t="n"/>
      <x:c r="J36" s="12" t="n"/>
      <x:c r="K36" s="12" t="n"/>
      <x:c r="L36" s="12" t="n"/>
      <x:c r="M36" s="12" t="n"/>
      <x:c r="N36" s="12" t="n"/>
      <x:c r="O36" s="12" t="n"/>
      <x:c r="P36" s="17">
        <x:f>IF($B36="","",MAX(0,40-$D36*Params!$B$2-$E36*Params!$B$3-IF($F36="是",Params!$B$4,0)-IF($G36="是",Params!$B$5,0)-IF($H36&gt;=1,Params!$B$6,0)-IF($I36&gt;90,Params!$B$8,IF($I36&gt;60,Params!$B$7,0))))</x:f>
      </x:c>
      <x:c r="Q36" s="17">
        <x:f>IF($B36="","",MAX(0,MIN(30,$J36+$K36+$L36)))</x:f>
      </x:c>
      <x:c r="R36" s="17">
        <x:f>IF($B36="","",MAX(0,MIN(30,$M36+$N36+$O36)))</x:f>
      </x:c>
      <x:c r="S36" s="17">
        <x:f>IF($B36="","",$P36+$Q36+$R36)</x:f>
      </x:c>
      <x:c r="T36" s="17">
        <x:f>IF($S36="","",IF($S36&gt;=90,"A+",IF($S36&gt;=80,"A",IF($S36&gt;=70,"B",IF($S36&gt;=60,"C","D")))))</x:f>
      </x:c>
      <x:c r="U36" s="17">
        <x:f>IF($T36="","",IF($T36="A+","正常合作 / 维持额度",IF($T36="A","正常合作 / 关注回款",IF($T36="B","控制新增赊销",IF($T36="C","降低额度 / 缩短账期","停供评估 / 法务关注")))))</x:f>
      </x:c>
      <x:c r="V36" s="13" t="n"/>
      <x:c r="W36" s="12" t="n"/>
    </x:row>
    <x:row r="37">
      <x:c r="A37" s="12" t="n"/>
      <x:c r="B37" s="12" t="n"/>
      <x:c r="C37" s="12" t="n"/>
      <x:c r="D37" s="12" t="n"/>
      <x:c r="E37" s="12" t="n"/>
      <x:c r="F37" s="12" t="n"/>
      <x:c r="G37" s="12" t="n"/>
      <x:c r="H37" s="12" t="n"/>
      <x:c r="I37" s="12" t="n"/>
      <x:c r="J37" s="12" t="n"/>
      <x:c r="K37" s="12" t="n"/>
      <x:c r="L37" s="12" t="n"/>
      <x:c r="M37" s="12" t="n"/>
      <x:c r="N37" s="12" t="n"/>
      <x:c r="O37" s="12" t="n"/>
      <x:c r="P37" s="17">
        <x:f>IF($B37="","",MAX(0,40-$D37*Params!$B$2-$E37*Params!$B$3-IF($F37="是",Params!$B$4,0)-IF($G37="是",Params!$B$5,0)-IF($H37&gt;=1,Params!$B$6,0)-IF($I37&gt;90,Params!$B$8,IF($I37&gt;60,Params!$B$7,0))))</x:f>
      </x:c>
      <x:c r="Q37" s="17">
        <x:f>IF($B37="","",MAX(0,MIN(30,$J37+$K37+$L37)))</x:f>
      </x:c>
      <x:c r="R37" s="17">
        <x:f>IF($B37="","",MAX(0,MIN(30,$M37+$N37+$O37)))</x:f>
      </x:c>
      <x:c r="S37" s="17">
        <x:f>IF($B37="","",$P37+$Q37+$R37)</x:f>
      </x:c>
      <x:c r="T37" s="17">
        <x:f>IF($S37="","",IF($S37&gt;=90,"A+",IF($S37&gt;=80,"A",IF($S37&gt;=70,"B",IF($S37&gt;=60,"C","D")))))</x:f>
      </x:c>
      <x:c r="U37" s="17">
        <x:f>IF($T37="","",IF($T37="A+","正常合作 / 维持额度",IF($T37="A","正常合作 / 关注回款",IF($T37="B","控制新增赊销",IF($T37="C","降低额度 / 缩短账期","停供评估 / 法务关注")))))</x:f>
      </x:c>
      <x:c r="V37" s="13" t="n"/>
      <x:c r="W37" s="12" t="n"/>
    </x:row>
    <x:row r="38">
      <x:c r="A38" s="12" t="n"/>
      <x:c r="B38" s="12" t="n"/>
      <x:c r="C38" s="12" t="n"/>
      <x:c r="D38" s="12" t="n"/>
      <x:c r="E38" s="12" t="n"/>
      <x:c r="F38" s="12" t="n"/>
      <x:c r="G38" s="12" t="n"/>
      <x:c r="H38" s="12" t="n"/>
      <x:c r="I38" s="12" t="n"/>
      <x:c r="J38" s="12" t="n"/>
      <x:c r="K38" s="12" t="n"/>
      <x:c r="L38" s="12" t="n"/>
      <x:c r="M38" s="12" t="n"/>
      <x:c r="N38" s="12" t="n"/>
      <x:c r="O38" s="12" t="n"/>
      <x:c r="P38" s="17">
        <x:f>IF($B38="","",MAX(0,40-$D38*Params!$B$2-$E38*Params!$B$3-IF($F38="是",Params!$B$4,0)-IF($G38="是",Params!$B$5,0)-IF($H38&gt;=1,Params!$B$6,0)-IF($I38&gt;90,Params!$B$8,IF($I38&gt;60,Params!$B$7,0))))</x:f>
      </x:c>
      <x:c r="Q38" s="17">
        <x:f>IF($B38="","",MAX(0,MIN(30,$J38+$K38+$L38)))</x:f>
      </x:c>
      <x:c r="R38" s="17">
        <x:f>IF($B38="","",MAX(0,MIN(30,$M38+$N38+$O38)))</x:f>
      </x:c>
      <x:c r="S38" s="17">
        <x:f>IF($B38="","",$P38+$Q38+$R38)</x:f>
      </x:c>
      <x:c r="T38" s="17">
        <x:f>IF($S38="","",IF($S38&gt;=90,"A+",IF($S38&gt;=80,"A",IF($S38&gt;=70,"B",IF($S38&gt;=60,"C","D")))))</x:f>
      </x:c>
      <x:c r="U38" s="17">
        <x:f>IF($T38="","",IF($T38="A+","正常合作 / 维持额度",IF($T38="A","正常合作 / 关注回款",IF($T38="B","控制新增赊销",IF($T38="C","降低额度 / 缩短账期","停供评估 / 法务关注")))))</x:f>
      </x:c>
      <x:c r="V38" s="13" t="n"/>
      <x:c r="W38" s="12" t="n"/>
    </x:row>
    <x:row r="39">
      <x:c r="A39" s="12" t="n"/>
      <x:c r="B39" s="12" t="n"/>
      <x:c r="C39" s="12" t="n"/>
      <x:c r="D39" s="12" t="n"/>
      <x:c r="E39" s="12" t="n"/>
      <x:c r="F39" s="12" t="n"/>
      <x:c r="G39" s="12" t="n"/>
      <x:c r="H39" s="12" t="n"/>
      <x:c r="I39" s="12" t="n"/>
      <x:c r="J39" s="12" t="n"/>
      <x:c r="K39" s="12" t="n"/>
      <x:c r="L39" s="12" t="n"/>
      <x:c r="M39" s="12" t="n"/>
      <x:c r="N39" s="12" t="n"/>
      <x:c r="O39" s="12" t="n"/>
      <x:c r="P39" s="17">
        <x:f>IF($B39="","",MAX(0,40-$D39*Params!$B$2-$E39*Params!$B$3-IF($F39="是",Params!$B$4,0)-IF($G39="是",Params!$B$5,0)-IF($H39&gt;=1,Params!$B$6,0)-IF($I39&gt;90,Params!$B$8,IF($I39&gt;60,Params!$B$7,0))))</x:f>
      </x:c>
      <x:c r="Q39" s="17">
        <x:f>IF($B39="","",MAX(0,MIN(30,$J39+$K39+$L39)))</x:f>
      </x:c>
      <x:c r="R39" s="17">
        <x:f>IF($B39="","",MAX(0,MIN(30,$M39+$N39+$O39)))</x:f>
      </x:c>
      <x:c r="S39" s="17">
        <x:f>IF($B39="","",$P39+$Q39+$R39)</x:f>
      </x:c>
      <x:c r="T39" s="17">
        <x:f>IF($S39="","",IF($S39&gt;=90,"A+",IF($S39&gt;=80,"A",IF($S39&gt;=70,"B",IF($S39&gt;=60,"C","D")))))</x:f>
      </x:c>
      <x:c r="U39" s="17">
        <x:f>IF($T39="","",IF($T39="A+","正常合作 / 维持额度",IF($T39="A","正常合作 / 关注回款",IF($T39="B","控制新增赊销",IF($T39="C","降低额度 / 缩短账期","停供评估 / 法务关注")))))</x:f>
      </x:c>
      <x:c r="V39" s="13" t="n"/>
      <x:c r="W39" s="12" t="n"/>
    </x:row>
    <x:row r="40">
      <x:c r="A40" s="12" t="n"/>
      <x:c r="B40" s="12" t="n"/>
      <x:c r="C40" s="12" t="n"/>
      <x:c r="D40" s="12" t="n"/>
      <x:c r="E40" s="12" t="n"/>
      <x:c r="F40" s="12" t="n"/>
      <x:c r="G40" s="12" t="n"/>
      <x:c r="H40" s="12" t="n"/>
      <x:c r="I40" s="12" t="n"/>
      <x:c r="J40" s="12" t="n"/>
      <x:c r="K40" s="12" t="n"/>
      <x:c r="L40" s="12" t="n"/>
      <x:c r="M40" s="12" t="n"/>
      <x:c r="N40" s="12" t="n"/>
      <x:c r="O40" s="12" t="n"/>
      <x:c r="P40" s="17">
        <x:f>IF($B40="","",MAX(0,40-$D40*Params!$B$2-$E40*Params!$B$3-IF($F40="是",Params!$B$4,0)-IF($G40="是",Params!$B$5,0)-IF($H40&gt;=1,Params!$B$6,0)-IF($I40&gt;90,Params!$B$8,IF($I40&gt;60,Params!$B$7,0))))</x:f>
      </x:c>
      <x:c r="Q40" s="17">
        <x:f>IF($B40="","",MAX(0,MIN(30,$J40+$K40+$L40)))</x:f>
      </x:c>
      <x:c r="R40" s="17">
        <x:f>IF($B40="","",MAX(0,MIN(30,$M40+$N40+$O40)))</x:f>
      </x:c>
      <x:c r="S40" s="17">
        <x:f>IF($B40="","",$P40+$Q40+$R40)</x:f>
      </x:c>
      <x:c r="T40" s="17">
        <x:f>IF($S40="","",IF($S40&gt;=90,"A+",IF($S40&gt;=80,"A",IF($S40&gt;=70,"B",IF($S40&gt;=60,"C","D")))))</x:f>
      </x:c>
      <x:c r="U40" s="17">
        <x:f>IF($T40="","",IF($T40="A+","正常合作 / 维持额度",IF($T40="A","正常合作 / 关注回款",IF($T40="B","控制新增赊销",IF($T40="C","降低额度 / 缩短账期","停供评估 / 法务关注")))))</x:f>
      </x:c>
      <x:c r="V40" s="13" t="n"/>
      <x:c r="W40" s="12" t="n"/>
    </x:row>
    <x:row r="41">
      <x:c r="A41" s="12" t="n"/>
      <x:c r="B41" s="12" t="n"/>
      <x:c r="C41" s="12" t="n"/>
      <x:c r="D41" s="12" t="n"/>
      <x:c r="E41" s="12" t="n"/>
      <x:c r="F41" s="12" t="n"/>
      <x:c r="G41" s="12" t="n"/>
      <x:c r="H41" s="12" t="n"/>
      <x:c r="I41" s="12" t="n"/>
      <x:c r="J41" s="12" t="n"/>
      <x:c r="K41" s="12" t="n"/>
      <x:c r="L41" s="12" t="n"/>
      <x:c r="M41" s="12" t="n"/>
      <x:c r="N41" s="12" t="n"/>
      <x:c r="O41" s="12" t="n"/>
      <x:c r="P41" s="17">
        <x:f>IF($B41="","",MAX(0,40-$D41*Params!$B$2-$E41*Params!$B$3-IF($F41="是",Params!$B$4,0)-IF($G41="是",Params!$B$5,0)-IF($H41&gt;=1,Params!$B$6,0)-IF($I41&gt;90,Params!$B$8,IF($I41&gt;60,Params!$B$7,0))))</x:f>
      </x:c>
      <x:c r="Q41" s="17">
        <x:f>IF($B41="","",MAX(0,MIN(30,$J41+$K41+$L41)))</x:f>
      </x:c>
      <x:c r="R41" s="17">
        <x:f>IF($B41="","",MAX(0,MIN(30,$M41+$N41+$O41)))</x:f>
      </x:c>
      <x:c r="S41" s="17">
        <x:f>IF($B41="","",$P41+$Q41+$R41)</x:f>
      </x:c>
      <x:c r="T41" s="17">
        <x:f>IF($S41="","",IF($S41&gt;=90,"A+",IF($S41&gt;=80,"A",IF($S41&gt;=70,"B",IF($S41&gt;=60,"C","D")))))</x:f>
      </x:c>
      <x:c r="U41" s="17">
        <x:f>IF($T41="","",IF($T41="A+","正常合作 / 维持额度",IF($T41="A","正常合作 / 关注回款",IF($T41="B","控制新增赊销",IF($T41="C","降低额度 / 缩短账期","停供评估 / 法务关注")))))</x:f>
      </x:c>
      <x:c r="V41" s="13" t="n"/>
      <x:c r="W41" s="12" t="n"/>
    </x:row>
    <x:row r="42">
      <x:c r="A42" s="12" t="n"/>
      <x:c r="B42" s="12" t="n"/>
      <x:c r="C42" s="12" t="n"/>
      <x:c r="D42" s="12" t="n"/>
      <x:c r="E42" s="12" t="n"/>
      <x:c r="F42" s="12" t="n"/>
      <x:c r="G42" s="12" t="n"/>
      <x:c r="H42" s="12" t="n"/>
      <x:c r="I42" s="12" t="n"/>
      <x:c r="J42" s="12" t="n"/>
      <x:c r="K42" s="12" t="n"/>
      <x:c r="L42" s="12" t="n"/>
      <x:c r="M42" s="12" t="n"/>
      <x:c r="N42" s="12" t="n"/>
      <x:c r="O42" s="12" t="n"/>
      <x:c r="P42" s="17">
        <x:f>IF($B42="","",MAX(0,40-$D42*Params!$B$2-$E42*Params!$B$3-IF($F42="是",Params!$B$4,0)-IF($G42="是",Params!$B$5,0)-IF($H42&gt;=1,Params!$B$6,0)-IF($I42&gt;90,Params!$B$8,IF($I42&gt;60,Params!$B$7,0))))</x:f>
      </x:c>
      <x:c r="Q42" s="17">
        <x:f>IF($B42="","",MAX(0,MIN(30,$J42+$K42+$L42)))</x:f>
      </x:c>
      <x:c r="R42" s="17">
        <x:f>IF($B42="","",MAX(0,MIN(30,$M42+$N42+$O42)))</x:f>
      </x:c>
      <x:c r="S42" s="17">
        <x:f>IF($B42="","",$P42+$Q42+$R42)</x:f>
      </x:c>
      <x:c r="T42" s="17">
        <x:f>IF($S42="","",IF($S42&gt;=90,"A+",IF($S42&gt;=80,"A",IF($S42&gt;=70,"B",IF($S42&gt;=60,"C","D")))))</x:f>
      </x:c>
      <x:c r="U42" s="17">
        <x:f>IF($T42="","",IF($T42="A+","正常合作 / 维持额度",IF($T42="A","正常合作 / 关注回款",IF($T42="B","控制新增赊销",IF($T42="C","降低额度 / 缩短账期","停供评估 / 法务关注")))))</x:f>
      </x:c>
      <x:c r="V42" s="13" t="n"/>
      <x:c r="W42" s="12" t="n"/>
    </x:row>
    <x:row r="43">
      <x:c r="A43" s="12" t="n"/>
      <x:c r="B43" s="12" t="n"/>
      <x:c r="C43" s="12" t="n"/>
      <x:c r="D43" s="12" t="n"/>
      <x:c r="E43" s="12" t="n"/>
      <x:c r="F43" s="12" t="n"/>
      <x:c r="G43" s="12" t="n"/>
      <x:c r="H43" s="12" t="n"/>
      <x:c r="I43" s="12" t="n"/>
      <x:c r="J43" s="12" t="n"/>
      <x:c r="K43" s="12" t="n"/>
      <x:c r="L43" s="12" t="n"/>
      <x:c r="M43" s="12" t="n"/>
      <x:c r="N43" s="12" t="n"/>
      <x:c r="O43" s="12" t="n"/>
      <x:c r="P43" s="17">
        <x:f>IF($B43="","",MAX(0,40-$D43*Params!$B$2-$E43*Params!$B$3-IF($F43="是",Params!$B$4,0)-IF($G43="是",Params!$B$5,0)-IF($H43&gt;=1,Params!$B$6,0)-IF($I43&gt;90,Params!$B$8,IF($I43&gt;60,Params!$B$7,0))))</x:f>
      </x:c>
      <x:c r="Q43" s="17">
        <x:f>IF($B43="","",MAX(0,MIN(30,$J43+$K43+$L43)))</x:f>
      </x:c>
      <x:c r="R43" s="17">
        <x:f>IF($B43="","",MAX(0,MIN(30,$M43+$N43+$O43)))</x:f>
      </x:c>
      <x:c r="S43" s="17">
        <x:f>IF($B43="","",$P43+$Q43+$R43)</x:f>
      </x:c>
      <x:c r="T43" s="17">
        <x:f>IF($S43="","",IF($S43&gt;=90,"A+",IF($S43&gt;=80,"A",IF($S43&gt;=70,"B",IF($S43&gt;=60,"C","D")))))</x:f>
      </x:c>
      <x:c r="U43" s="17">
        <x:f>IF($T43="","",IF($T43="A+","正常合作 / 维持额度",IF($T43="A","正常合作 / 关注回款",IF($T43="B","控制新增赊销",IF($T43="C","降低额度 / 缩短账期","停供评估 / 法务关注")))))</x:f>
      </x:c>
      <x:c r="V43" s="13" t="n"/>
      <x:c r="W43" s="12" t="n"/>
    </x:row>
    <x:row r="44">
      <x:c r="A44" s="12" t="n"/>
      <x:c r="B44" s="12" t="n"/>
      <x:c r="C44" s="12" t="n"/>
      <x:c r="D44" s="12" t="n"/>
      <x:c r="E44" s="12" t="n"/>
      <x:c r="F44" s="12" t="n"/>
      <x:c r="G44" s="12" t="n"/>
      <x:c r="H44" s="12" t="n"/>
      <x:c r="I44" s="12" t="n"/>
      <x:c r="J44" s="12" t="n"/>
      <x:c r="K44" s="12" t="n"/>
      <x:c r="L44" s="12" t="n"/>
      <x:c r="M44" s="12" t="n"/>
      <x:c r="N44" s="12" t="n"/>
      <x:c r="O44" s="12" t="n"/>
      <x:c r="P44" s="17">
        <x:f>IF($B44="","",MAX(0,40-$D44*Params!$B$2-$E44*Params!$B$3-IF($F44="是",Params!$B$4,0)-IF($G44="是",Params!$B$5,0)-IF($H44&gt;=1,Params!$B$6,0)-IF($I44&gt;90,Params!$B$8,IF($I44&gt;60,Params!$B$7,0))))</x:f>
      </x:c>
      <x:c r="Q44" s="17">
        <x:f>IF($B44="","",MAX(0,MIN(30,$J44+$K44+$L44)))</x:f>
      </x:c>
      <x:c r="R44" s="17">
        <x:f>IF($B44="","",MAX(0,MIN(30,$M44+$N44+$O44)))</x:f>
      </x:c>
      <x:c r="S44" s="17">
        <x:f>IF($B44="","",$P44+$Q44+$R44)</x:f>
      </x:c>
      <x:c r="T44" s="17">
        <x:f>IF($S44="","",IF($S44&gt;=90,"A+",IF($S44&gt;=80,"A",IF($S44&gt;=70,"B",IF($S44&gt;=60,"C","D")))))</x:f>
      </x:c>
      <x:c r="U44" s="17">
        <x:f>IF($T44="","",IF($T44="A+","正常合作 / 维持额度",IF($T44="A","正常合作 / 关注回款",IF($T44="B","控制新增赊销",IF($T44="C","降低额度 / 缩短账期","停供评估 / 法务关注")))))</x:f>
      </x:c>
      <x:c r="V44" s="13" t="n"/>
      <x:c r="W44" s="12" t="n"/>
    </x:row>
    <x:row r="45">
      <x:c r="A45" s="12" t="n"/>
      <x:c r="B45" s="12" t="n"/>
      <x:c r="C45" s="12" t="n"/>
      <x:c r="D45" s="12" t="n"/>
      <x:c r="E45" s="12" t="n"/>
      <x:c r="F45" s="12" t="n"/>
      <x:c r="G45" s="12" t="n"/>
      <x:c r="H45" s="12" t="n"/>
      <x:c r="I45" s="12" t="n"/>
      <x:c r="J45" s="12" t="n"/>
      <x:c r="K45" s="12" t="n"/>
      <x:c r="L45" s="12" t="n"/>
      <x:c r="M45" s="12" t="n"/>
      <x:c r="N45" s="12" t="n"/>
      <x:c r="O45" s="12" t="n"/>
      <x:c r="P45" s="17">
        <x:f>IF($B45="","",MAX(0,40-$D45*Params!$B$2-$E45*Params!$B$3-IF($F45="是",Params!$B$4,0)-IF($G45="是",Params!$B$5,0)-IF($H45&gt;=1,Params!$B$6,0)-IF($I45&gt;90,Params!$B$8,IF($I45&gt;60,Params!$B$7,0))))</x:f>
      </x:c>
      <x:c r="Q45" s="17">
        <x:f>IF($B45="","",MAX(0,MIN(30,$J45+$K45+$L45)))</x:f>
      </x:c>
      <x:c r="R45" s="17">
        <x:f>IF($B45="","",MAX(0,MIN(30,$M45+$N45+$O45)))</x:f>
      </x:c>
      <x:c r="S45" s="17">
        <x:f>IF($B45="","",$P45+$Q45+$R45)</x:f>
      </x:c>
      <x:c r="T45" s="17">
        <x:f>IF($S45="","",IF($S45&gt;=90,"A+",IF($S45&gt;=80,"A",IF($S45&gt;=70,"B",IF($S45&gt;=60,"C","D")))))</x:f>
      </x:c>
      <x:c r="U45" s="17">
        <x:f>IF($T45="","",IF($T45="A+","正常合作 / 维持额度",IF($T45="A","正常合作 / 关注回款",IF($T45="B","控制新增赊销",IF($T45="C","降低额度 / 缩短账期","停供评估 / 法务关注")))))</x:f>
      </x:c>
      <x:c r="V45" s="13" t="n"/>
      <x:c r="W45" s="12" t="n"/>
    </x:row>
    <x:row r="46">
      <x:c r="A46" s="12" t="n"/>
      <x:c r="B46" s="12" t="n"/>
      <x:c r="C46" s="12" t="n"/>
      <x:c r="D46" s="12" t="n"/>
      <x:c r="E46" s="12" t="n"/>
      <x:c r="F46" s="12" t="n"/>
      <x:c r="G46" s="12" t="n"/>
      <x:c r="H46" s="12" t="n"/>
      <x:c r="I46" s="12" t="n"/>
      <x:c r="J46" s="12" t="n"/>
      <x:c r="K46" s="12" t="n"/>
      <x:c r="L46" s="12" t="n"/>
      <x:c r="M46" s="12" t="n"/>
      <x:c r="N46" s="12" t="n"/>
      <x:c r="O46" s="12" t="n"/>
      <x:c r="P46" s="17">
        <x:f>IF($B46="","",MAX(0,40-$D46*Params!$B$2-$E46*Params!$B$3-IF($F46="是",Params!$B$4,0)-IF($G46="是",Params!$B$5,0)-IF($H46&gt;=1,Params!$B$6,0)-IF($I46&gt;90,Params!$B$8,IF($I46&gt;60,Params!$B$7,0))))</x:f>
      </x:c>
      <x:c r="Q46" s="17">
        <x:f>IF($B46="","",MAX(0,MIN(30,$J46+$K46+$L46)))</x:f>
      </x:c>
      <x:c r="R46" s="17">
        <x:f>IF($B46="","",MAX(0,MIN(30,$M46+$N46+$O46)))</x:f>
      </x:c>
      <x:c r="S46" s="17">
        <x:f>IF($B46="","",$P46+$Q46+$R46)</x:f>
      </x:c>
      <x:c r="T46" s="17">
        <x:f>IF($S46="","",IF($S46&gt;=90,"A+",IF($S46&gt;=80,"A",IF($S46&gt;=70,"B",IF($S46&gt;=60,"C","D")))))</x:f>
      </x:c>
      <x:c r="U46" s="17">
        <x:f>IF($T46="","",IF($T46="A+","正常合作 / 维持额度",IF($T46="A","正常合作 / 关注回款",IF($T46="B","控制新增赊销",IF($T46="C","降低额度 / 缩短账期","停供评估 / 法务关注")))))</x:f>
      </x:c>
      <x:c r="V46" s="13" t="n"/>
      <x:c r="W46" s="12" t="n"/>
    </x:row>
    <x:row r="47">
      <x:c r="A47" s="12" t="n"/>
      <x:c r="B47" s="12" t="n"/>
      <x:c r="C47" s="12" t="n"/>
      <x:c r="D47" s="12" t="n"/>
      <x:c r="E47" s="12" t="n"/>
      <x:c r="F47" s="12" t="n"/>
      <x:c r="G47" s="12" t="n"/>
      <x:c r="H47" s="12" t="n"/>
      <x:c r="I47" s="12" t="n"/>
      <x:c r="J47" s="12" t="n"/>
      <x:c r="K47" s="12" t="n"/>
      <x:c r="L47" s="12" t="n"/>
      <x:c r="M47" s="12" t="n"/>
      <x:c r="N47" s="12" t="n"/>
      <x:c r="O47" s="12" t="n"/>
      <x:c r="P47" s="17">
        <x:f>IF($B47="","",MAX(0,40-$D47*Params!$B$2-$E47*Params!$B$3-IF($F47="是",Params!$B$4,0)-IF($G47="是",Params!$B$5,0)-IF($H47&gt;=1,Params!$B$6,0)-IF($I47&gt;90,Params!$B$8,IF($I47&gt;60,Params!$B$7,0))))</x:f>
      </x:c>
      <x:c r="Q47" s="17">
        <x:f>IF($B47="","",MAX(0,MIN(30,$J47+$K47+$L47)))</x:f>
      </x:c>
      <x:c r="R47" s="17">
        <x:f>IF($B47="","",MAX(0,MIN(30,$M47+$N47+$O47)))</x:f>
      </x:c>
      <x:c r="S47" s="17">
        <x:f>IF($B47="","",$P47+$Q47+$R47)</x:f>
      </x:c>
      <x:c r="T47" s="17">
        <x:f>IF($S47="","",IF($S47&gt;=90,"A+",IF($S47&gt;=80,"A",IF($S47&gt;=70,"B",IF($S47&gt;=60,"C","D")))))</x:f>
      </x:c>
      <x:c r="U47" s="17">
        <x:f>IF($T47="","",IF($T47="A+","正常合作 / 维持额度",IF($T47="A","正常合作 / 关注回款",IF($T47="B","控制新增赊销",IF($T47="C","降低额度 / 缩短账期","停供评估 / 法务关注")))))</x:f>
      </x:c>
      <x:c r="V47" s="13" t="n"/>
      <x:c r="W47" s="12" t="n"/>
    </x:row>
    <x:row r="48">
      <x:c r="A48" s="12" t="n"/>
      <x:c r="B48" s="12" t="n"/>
      <x:c r="C48" s="12" t="n"/>
      <x:c r="D48" s="12" t="n"/>
      <x:c r="E48" s="12" t="n"/>
      <x:c r="F48" s="12" t="n"/>
      <x:c r="G48" s="12" t="n"/>
      <x:c r="H48" s="12" t="n"/>
      <x:c r="I48" s="12" t="n"/>
      <x:c r="J48" s="12" t="n"/>
      <x:c r="K48" s="12" t="n"/>
      <x:c r="L48" s="12" t="n"/>
      <x:c r="M48" s="12" t="n"/>
      <x:c r="N48" s="12" t="n"/>
      <x:c r="O48" s="12" t="n"/>
      <x:c r="P48" s="17">
        <x:f>IF($B48="","",MAX(0,40-$D48*Params!$B$2-$E48*Params!$B$3-IF($F48="是",Params!$B$4,0)-IF($G48="是",Params!$B$5,0)-IF($H48&gt;=1,Params!$B$6,0)-IF($I48&gt;90,Params!$B$8,IF($I48&gt;60,Params!$B$7,0))))</x:f>
      </x:c>
      <x:c r="Q48" s="17">
        <x:f>IF($B48="","",MAX(0,MIN(30,$J48+$K48+$L48)))</x:f>
      </x:c>
      <x:c r="R48" s="17">
        <x:f>IF($B48="","",MAX(0,MIN(30,$M48+$N48+$O48)))</x:f>
      </x:c>
      <x:c r="S48" s="17">
        <x:f>IF($B48="","",$P48+$Q48+$R48)</x:f>
      </x:c>
      <x:c r="T48" s="17">
        <x:f>IF($S48="","",IF($S48&gt;=90,"A+",IF($S48&gt;=80,"A",IF($S48&gt;=70,"B",IF($S48&gt;=60,"C","D")))))</x:f>
      </x:c>
      <x:c r="U48" s="17">
        <x:f>IF($T48="","",IF($T48="A+","正常合作 / 维持额度",IF($T48="A","正常合作 / 关注回款",IF($T48="B","控制新增赊销",IF($T48="C","降低额度 / 缩短账期","停供评估 / 法务关注")))))</x:f>
      </x:c>
      <x:c r="V48" s="13" t="n"/>
      <x:c r="W48" s="12" t="n"/>
    </x:row>
    <x:row r="49">
      <x:c r="A49" s="12" t="n"/>
      <x:c r="B49" s="12" t="n"/>
      <x:c r="C49" s="12" t="n"/>
      <x:c r="D49" s="12" t="n"/>
      <x:c r="E49" s="12" t="n"/>
      <x:c r="F49" s="12" t="n"/>
      <x:c r="G49" s="12" t="n"/>
      <x:c r="H49" s="12" t="n"/>
      <x:c r="I49" s="12" t="n"/>
      <x:c r="J49" s="12" t="n"/>
      <x:c r="K49" s="12" t="n"/>
      <x:c r="L49" s="12" t="n"/>
      <x:c r="M49" s="12" t="n"/>
      <x:c r="N49" s="12" t="n"/>
      <x:c r="O49" s="12" t="n"/>
      <x:c r="P49" s="17">
        <x:f>IF($B49="","",MAX(0,40-$D49*Params!$B$2-$E49*Params!$B$3-IF($F49="是",Params!$B$4,0)-IF($G49="是",Params!$B$5,0)-IF($H49&gt;=1,Params!$B$6,0)-IF($I49&gt;90,Params!$B$8,IF($I49&gt;60,Params!$B$7,0))))</x:f>
      </x:c>
      <x:c r="Q49" s="17">
        <x:f>IF($B49="","",MAX(0,MIN(30,$J49+$K49+$L49)))</x:f>
      </x:c>
      <x:c r="R49" s="17">
        <x:f>IF($B49="","",MAX(0,MIN(30,$M49+$N49+$O49)))</x:f>
      </x:c>
      <x:c r="S49" s="17">
        <x:f>IF($B49="","",$P49+$Q49+$R49)</x:f>
      </x:c>
      <x:c r="T49" s="17">
        <x:f>IF($S49="","",IF($S49&gt;=90,"A+",IF($S49&gt;=80,"A",IF($S49&gt;=70,"B",IF($S49&gt;=60,"C","D")))))</x:f>
      </x:c>
      <x:c r="U49" s="17">
        <x:f>IF($T49="","",IF($T49="A+","正常合作 / 维持额度",IF($T49="A","正常合作 / 关注回款",IF($T49="B","控制新增赊销",IF($T49="C","降低额度 / 缩短账期","停供评估 / 法务关注")))))</x:f>
      </x:c>
      <x:c r="V49" s="13" t="n"/>
      <x:c r="W49" s="12" t="n"/>
    </x:row>
    <x:row r="50">
      <x:c r="A50" s="12" t="n"/>
      <x:c r="B50" s="12" t="n"/>
      <x:c r="C50" s="12" t="n"/>
      <x:c r="D50" s="12" t="n"/>
      <x:c r="E50" s="12" t="n"/>
      <x:c r="F50" s="12" t="n"/>
      <x:c r="G50" s="12" t="n"/>
      <x:c r="H50" s="12" t="n"/>
      <x:c r="I50" s="12" t="n"/>
      <x:c r="J50" s="12" t="n"/>
      <x:c r="K50" s="12" t="n"/>
      <x:c r="L50" s="12" t="n"/>
      <x:c r="M50" s="12" t="n"/>
      <x:c r="N50" s="12" t="n"/>
      <x:c r="O50" s="12" t="n"/>
      <x:c r="P50" s="17">
        <x:f>IF($B50="","",MAX(0,40-$D50*Params!$B$2-$E50*Params!$B$3-IF($F50="是",Params!$B$4,0)-IF($G50="是",Params!$B$5,0)-IF($H50&gt;=1,Params!$B$6,0)-IF($I50&gt;90,Params!$B$8,IF($I50&gt;60,Params!$B$7,0))))</x:f>
      </x:c>
      <x:c r="Q50" s="17">
        <x:f>IF($B50="","",MAX(0,MIN(30,$J50+$K50+$L50)))</x:f>
      </x:c>
      <x:c r="R50" s="17">
        <x:f>IF($B50="","",MAX(0,MIN(30,$M50+$N50+$O50)))</x:f>
      </x:c>
      <x:c r="S50" s="17">
        <x:f>IF($B50="","",$P50+$Q50+$R50)</x:f>
      </x:c>
      <x:c r="T50" s="17">
        <x:f>IF($S50="","",IF($S50&gt;=90,"A+",IF($S50&gt;=80,"A",IF($S50&gt;=70,"B",IF($S50&gt;=60,"C","D")))))</x:f>
      </x:c>
      <x:c r="U50" s="17">
        <x:f>IF($T50="","",IF($T50="A+","正常合作 / 维持额度",IF($T50="A","正常合作 / 关注回款",IF($T50="B","控制新增赊销",IF($T50="C","降低额度 / 缩短账期","停供评估 / 法务关注")))))</x:f>
      </x:c>
      <x:c r="V50" s="13" t="n"/>
      <x:c r="W50" s="12" t="n"/>
    </x:row>
    <x:row r="51">
      <x:c r="A51" s="12" t="n"/>
      <x:c r="B51" s="12" t="n"/>
      <x:c r="C51" s="12" t="n"/>
      <x:c r="D51" s="12" t="n"/>
      <x:c r="E51" s="12" t="n"/>
      <x:c r="F51" s="12" t="n"/>
      <x:c r="G51" s="12" t="n"/>
      <x:c r="H51" s="12" t="n"/>
      <x:c r="I51" s="12" t="n"/>
      <x:c r="J51" s="12" t="n"/>
      <x:c r="K51" s="12" t="n"/>
      <x:c r="L51" s="12" t="n"/>
      <x:c r="M51" s="12" t="n"/>
      <x:c r="N51" s="12" t="n"/>
      <x:c r="O51" s="12" t="n"/>
      <x:c r="P51" s="17">
        <x:f>IF($B51="","",MAX(0,40-$D51*Params!$B$2-$E51*Params!$B$3-IF($F51="是",Params!$B$4,0)-IF($G51="是",Params!$B$5,0)-IF($H51&gt;=1,Params!$B$6,0)-IF($I51&gt;90,Params!$B$8,IF($I51&gt;60,Params!$B$7,0))))</x:f>
      </x:c>
      <x:c r="Q51" s="17">
        <x:f>IF($B51="","",MAX(0,MIN(30,$J51+$K51+$L51)))</x:f>
      </x:c>
      <x:c r="R51" s="17">
        <x:f>IF($B51="","",MAX(0,MIN(30,$M51+$N51+$O51)))</x:f>
      </x:c>
      <x:c r="S51" s="17">
        <x:f>IF($B51="","",$P51+$Q51+$R51)</x:f>
      </x:c>
      <x:c r="T51" s="17">
        <x:f>IF($S51="","",IF($S51&gt;=90,"A+",IF($S51&gt;=80,"A",IF($S51&gt;=70,"B",IF($S51&gt;=60,"C","D")))))</x:f>
      </x:c>
      <x:c r="U51" s="17">
        <x:f>IF($T51="","",IF($T51="A+","正常合作 / 维持额度",IF($T51="A","正常合作 / 关注回款",IF($T51="B","控制新增赊销",IF($T51="C","降低额度 / 缩短账期","停供评估 / 法务关注")))))</x:f>
      </x:c>
      <x:c r="V51" s="13" t="n"/>
      <x:c r="W51" s="12" t="n"/>
    </x:row>
    <x:row r="52">
      <x:c r="A52" s="12" t="n"/>
      <x:c r="B52" s="12" t="n"/>
      <x:c r="C52" s="12" t="n"/>
      <x:c r="D52" s="12" t="n"/>
      <x:c r="E52" s="12" t="n"/>
      <x:c r="F52" s="12" t="n"/>
      <x:c r="G52" s="12" t="n"/>
      <x:c r="H52" s="12" t="n"/>
      <x:c r="I52" s="12" t="n"/>
      <x:c r="J52" s="12" t="n"/>
      <x:c r="K52" s="12" t="n"/>
      <x:c r="L52" s="12" t="n"/>
      <x:c r="M52" s="12" t="n"/>
      <x:c r="N52" s="12" t="n"/>
      <x:c r="O52" s="12" t="n"/>
      <x:c r="P52" s="17">
        <x:f>IF($B52="","",MAX(0,40-$D52*Params!$B$2-$E52*Params!$B$3-IF($F52="是",Params!$B$4,0)-IF($G52="是",Params!$B$5,0)-IF($H52&gt;=1,Params!$B$6,0)-IF($I52&gt;90,Params!$B$8,IF($I52&gt;60,Params!$B$7,0))))</x:f>
      </x:c>
      <x:c r="Q52" s="17">
        <x:f>IF($B52="","",MAX(0,MIN(30,$J52+$K52+$L52)))</x:f>
      </x:c>
      <x:c r="R52" s="17">
        <x:f>IF($B52="","",MAX(0,MIN(30,$M52+$N52+$O52)))</x:f>
      </x:c>
      <x:c r="S52" s="17">
        <x:f>IF($B52="","",$P52+$Q52+$R52)</x:f>
      </x:c>
      <x:c r="T52" s="17">
        <x:f>IF($S52="","",IF($S52&gt;=90,"A+",IF($S52&gt;=80,"A",IF($S52&gt;=70,"B",IF($S52&gt;=60,"C","D")))))</x:f>
      </x:c>
      <x:c r="U52" s="17">
        <x:f>IF($T52="","",IF($T52="A+","正常合作 / 维持额度",IF($T52="A","正常合作 / 关注回款",IF($T52="B","控制新增赊销",IF($T52="C","降低额度 / 缩短账期","停供评估 / 法务关注")))))</x:f>
      </x:c>
      <x:c r="V52" s="13" t="n"/>
      <x:c r="W52" s="12" t="n"/>
    </x:row>
    <x:row r="53">
      <x:c r="A53" s="12" t="n"/>
      <x:c r="B53" s="12" t="n"/>
      <x:c r="C53" s="12" t="n"/>
      <x:c r="D53" s="12" t="n"/>
      <x:c r="E53" s="12" t="n"/>
      <x:c r="F53" s="12" t="n"/>
      <x:c r="G53" s="12" t="n"/>
      <x:c r="H53" s="12" t="n"/>
      <x:c r="I53" s="12" t="n"/>
      <x:c r="J53" s="12" t="n"/>
      <x:c r="K53" s="12" t="n"/>
      <x:c r="L53" s="12" t="n"/>
      <x:c r="M53" s="12" t="n"/>
      <x:c r="N53" s="12" t="n"/>
      <x:c r="O53" s="12" t="n"/>
      <x:c r="P53" s="17">
        <x:f>IF($B53="","",MAX(0,40-$D53*Params!$B$2-$E53*Params!$B$3-IF($F53="是",Params!$B$4,0)-IF($G53="是",Params!$B$5,0)-IF($H53&gt;=1,Params!$B$6,0)-IF($I53&gt;90,Params!$B$8,IF($I53&gt;60,Params!$B$7,0))))</x:f>
      </x:c>
      <x:c r="Q53" s="17">
        <x:f>IF($B53="","",MAX(0,MIN(30,$J53+$K53+$L53)))</x:f>
      </x:c>
      <x:c r="R53" s="17">
        <x:f>IF($B53="","",MAX(0,MIN(30,$M53+$N53+$O53)))</x:f>
      </x:c>
      <x:c r="S53" s="17">
        <x:f>IF($B53="","",$P53+$Q53+$R53)</x:f>
      </x:c>
      <x:c r="T53" s="17">
        <x:f>IF($S53="","",IF($S53&gt;=90,"A+",IF($S53&gt;=80,"A",IF($S53&gt;=70,"B",IF($S53&gt;=60,"C","D")))))</x:f>
      </x:c>
      <x:c r="U53" s="17">
        <x:f>IF($T53="","",IF($T53="A+","正常合作 / 维持额度",IF($T53="A","正常合作 / 关注回款",IF($T53="B","控制新增赊销",IF($T53="C","降低额度 / 缩短账期","停供评估 / 法务关注")))))</x:f>
      </x:c>
      <x:c r="V53" s="13" t="n"/>
      <x:c r="W53" s="12" t="n"/>
    </x:row>
    <x:row r="54">
      <x:c r="A54" s="12" t="n"/>
      <x:c r="B54" s="12" t="n"/>
      <x:c r="C54" s="12" t="n"/>
      <x:c r="D54" s="12" t="n"/>
      <x:c r="E54" s="12" t="n"/>
      <x:c r="F54" s="12" t="n"/>
      <x:c r="G54" s="12" t="n"/>
      <x:c r="H54" s="12" t="n"/>
      <x:c r="I54" s="12" t="n"/>
      <x:c r="J54" s="12" t="n"/>
      <x:c r="K54" s="12" t="n"/>
      <x:c r="L54" s="12" t="n"/>
      <x:c r="M54" s="12" t="n"/>
      <x:c r="N54" s="12" t="n"/>
      <x:c r="O54" s="12" t="n"/>
      <x:c r="P54" s="17">
        <x:f>IF($B54="","",MAX(0,40-$D54*Params!$B$2-$E54*Params!$B$3-IF($F54="是",Params!$B$4,0)-IF($G54="是",Params!$B$5,0)-IF($H54&gt;=1,Params!$B$6,0)-IF($I54&gt;90,Params!$B$8,IF($I54&gt;60,Params!$B$7,0))))</x:f>
      </x:c>
      <x:c r="Q54" s="17">
        <x:f>IF($B54="","",MAX(0,MIN(30,$J54+$K54+$L54)))</x:f>
      </x:c>
      <x:c r="R54" s="17">
        <x:f>IF($B54="","",MAX(0,MIN(30,$M54+$N54+$O54)))</x:f>
      </x:c>
      <x:c r="S54" s="17">
        <x:f>IF($B54="","",$P54+$Q54+$R54)</x:f>
      </x:c>
      <x:c r="T54" s="17">
        <x:f>IF($S54="","",IF($S54&gt;=90,"A+",IF($S54&gt;=80,"A",IF($S54&gt;=70,"B",IF($S54&gt;=60,"C","D")))))</x:f>
      </x:c>
      <x:c r="U54" s="17">
        <x:f>IF($T54="","",IF($T54="A+","正常合作 / 维持额度",IF($T54="A","正常合作 / 关注回款",IF($T54="B","控制新增赊销",IF($T54="C","降低额度 / 缩短账期","停供评估 / 法务关注")))))</x:f>
      </x:c>
      <x:c r="V54" s="13" t="n"/>
      <x:c r="W54" s="12" t="n"/>
    </x:row>
    <x:row r="55">
      <x:c r="A55" s="12" t="n"/>
      <x:c r="B55" s="12" t="n"/>
      <x:c r="C55" s="12" t="n"/>
      <x:c r="D55" s="12" t="n"/>
      <x:c r="E55" s="12" t="n"/>
      <x:c r="F55" s="12" t="n"/>
      <x:c r="G55" s="12" t="n"/>
      <x:c r="H55" s="12" t="n"/>
      <x:c r="I55" s="12" t="n"/>
      <x:c r="J55" s="12" t="n"/>
      <x:c r="K55" s="12" t="n"/>
      <x:c r="L55" s="12" t="n"/>
      <x:c r="M55" s="12" t="n"/>
      <x:c r="N55" s="12" t="n"/>
      <x:c r="O55" s="12" t="n"/>
      <x:c r="P55" s="17">
        <x:f>IF($B55="","",MAX(0,40-$D55*Params!$B$2-$E55*Params!$B$3-IF($F55="是",Params!$B$4,0)-IF($G55="是",Params!$B$5,0)-IF($H55&gt;=1,Params!$B$6,0)-IF($I55&gt;90,Params!$B$8,IF($I55&gt;60,Params!$B$7,0))))</x:f>
      </x:c>
      <x:c r="Q55" s="17">
        <x:f>IF($B55="","",MAX(0,MIN(30,$J55+$K55+$L55)))</x:f>
      </x:c>
      <x:c r="R55" s="17">
        <x:f>IF($B55="","",MAX(0,MIN(30,$M55+$N55+$O55)))</x:f>
      </x:c>
      <x:c r="S55" s="17">
        <x:f>IF($B55="","",$P55+$Q55+$R55)</x:f>
      </x:c>
      <x:c r="T55" s="17">
        <x:f>IF($S55="","",IF($S55&gt;=90,"A+",IF($S55&gt;=80,"A",IF($S55&gt;=70,"B",IF($S55&gt;=60,"C","D")))))</x:f>
      </x:c>
      <x:c r="U55" s="17">
        <x:f>IF($T55="","",IF($T55="A+","正常合作 / 维持额度",IF($T55="A","正常合作 / 关注回款",IF($T55="B","控制新增赊销",IF($T55="C","降低额度 / 缩短账期","停供评估 / 法务关注")))))</x:f>
      </x:c>
      <x:c r="V55" s="13" t="n"/>
      <x:c r="W55" s="12" t="n"/>
    </x:row>
    <x:row r="56">
      <x:c r="A56" s="12" t="n"/>
      <x:c r="B56" s="12" t="n"/>
      <x:c r="C56" s="12" t="n"/>
      <x:c r="D56" s="12" t="n"/>
      <x:c r="E56" s="12" t="n"/>
      <x:c r="F56" s="12" t="n"/>
      <x:c r="G56" s="12" t="n"/>
      <x:c r="H56" s="12" t="n"/>
      <x:c r="I56" s="12" t="n"/>
      <x:c r="J56" s="12" t="n"/>
      <x:c r="K56" s="12" t="n"/>
      <x:c r="L56" s="12" t="n"/>
      <x:c r="M56" s="12" t="n"/>
      <x:c r="N56" s="12" t="n"/>
      <x:c r="O56" s="12" t="n"/>
      <x:c r="P56" s="17">
        <x:f>IF($B56="","",MAX(0,40-$D56*Params!$B$2-$E56*Params!$B$3-IF($F56="是",Params!$B$4,0)-IF($G56="是",Params!$B$5,0)-IF($H56&gt;=1,Params!$B$6,0)-IF($I56&gt;90,Params!$B$8,IF($I56&gt;60,Params!$B$7,0))))</x:f>
      </x:c>
      <x:c r="Q56" s="17">
        <x:f>IF($B56="","",MAX(0,MIN(30,$J56+$K56+$L56)))</x:f>
      </x:c>
      <x:c r="R56" s="17">
        <x:f>IF($B56="","",MAX(0,MIN(30,$M56+$N56+$O56)))</x:f>
      </x:c>
      <x:c r="S56" s="17">
        <x:f>IF($B56="","",$P56+$Q56+$R56)</x:f>
      </x:c>
      <x:c r="T56" s="17">
        <x:f>IF($S56="","",IF($S56&gt;=90,"A+",IF($S56&gt;=80,"A",IF($S56&gt;=70,"B",IF($S56&gt;=60,"C","D")))))</x:f>
      </x:c>
      <x:c r="U56" s="17">
        <x:f>IF($T56="","",IF($T56="A+","正常合作 / 维持额度",IF($T56="A","正常合作 / 关注回款",IF($T56="B","控制新增赊销",IF($T56="C","降低额度 / 缩短账期","停供评估 / 法务关注")))))</x:f>
      </x:c>
      <x:c r="V56" s="13" t="n"/>
      <x:c r="W56" s="12" t="n"/>
    </x:row>
    <x:row r="57">
      <x:c r="A57" s="12" t="n"/>
      <x:c r="B57" s="12" t="n"/>
      <x:c r="C57" s="12" t="n"/>
      <x:c r="D57" s="12" t="n"/>
      <x:c r="E57" s="12" t="n"/>
      <x:c r="F57" s="12" t="n"/>
      <x:c r="G57" s="12" t="n"/>
      <x:c r="H57" s="12" t="n"/>
      <x:c r="I57" s="12" t="n"/>
      <x:c r="J57" s="12" t="n"/>
      <x:c r="K57" s="12" t="n"/>
      <x:c r="L57" s="12" t="n"/>
      <x:c r="M57" s="12" t="n"/>
      <x:c r="N57" s="12" t="n"/>
      <x:c r="O57" s="12" t="n"/>
      <x:c r="P57" s="17">
        <x:f>IF($B57="","",MAX(0,40-$D57*Params!$B$2-$E57*Params!$B$3-IF($F57="是",Params!$B$4,0)-IF($G57="是",Params!$B$5,0)-IF($H57&gt;=1,Params!$B$6,0)-IF($I57&gt;90,Params!$B$8,IF($I57&gt;60,Params!$B$7,0))))</x:f>
      </x:c>
      <x:c r="Q57" s="17">
        <x:f>IF($B57="","",MAX(0,MIN(30,$J57+$K57+$L57)))</x:f>
      </x:c>
      <x:c r="R57" s="17">
        <x:f>IF($B57="","",MAX(0,MIN(30,$M57+$N57+$O57)))</x:f>
      </x:c>
      <x:c r="S57" s="17">
        <x:f>IF($B57="","",$P57+$Q57+$R57)</x:f>
      </x:c>
      <x:c r="T57" s="17">
        <x:f>IF($S57="","",IF($S57&gt;=90,"A+",IF($S57&gt;=80,"A",IF($S57&gt;=70,"B",IF($S57&gt;=60,"C","D")))))</x:f>
      </x:c>
      <x:c r="U57" s="17">
        <x:f>IF($T57="","",IF($T57="A+","正常合作 / 维持额度",IF($T57="A","正常合作 / 关注回款",IF($T57="B","控制新增赊销",IF($T57="C","降低额度 / 缩短账期","停供评估 / 法务关注")))))</x:f>
      </x:c>
      <x:c r="V57" s="13" t="n"/>
      <x:c r="W57" s="12" t="n"/>
    </x:row>
    <x:row r="58">
      <x:c r="A58" s="12" t="n"/>
      <x:c r="B58" s="12" t="n"/>
      <x:c r="C58" s="12" t="n"/>
      <x:c r="D58" s="12" t="n"/>
      <x:c r="E58" s="12" t="n"/>
      <x:c r="F58" s="12" t="n"/>
      <x:c r="G58" s="12" t="n"/>
      <x:c r="H58" s="12" t="n"/>
      <x:c r="I58" s="12" t="n"/>
      <x:c r="J58" s="12" t="n"/>
      <x:c r="K58" s="12" t="n"/>
      <x:c r="L58" s="12" t="n"/>
      <x:c r="M58" s="12" t="n"/>
      <x:c r="N58" s="12" t="n"/>
      <x:c r="O58" s="12" t="n"/>
      <x:c r="P58" s="17">
        <x:f>IF($B58="","",MAX(0,40-$D58*Params!$B$2-$E58*Params!$B$3-IF($F58="是",Params!$B$4,0)-IF($G58="是",Params!$B$5,0)-IF($H58&gt;=1,Params!$B$6,0)-IF($I58&gt;90,Params!$B$8,IF($I58&gt;60,Params!$B$7,0))))</x:f>
      </x:c>
      <x:c r="Q58" s="17">
        <x:f>IF($B58="","",MAX(0,MIN(30,$J58+$K58+$L58)))</x:f>
      </x:c>
      <x:c r="R58" s="17">
        <x:f>IF($B58="","",MAX(0,MIN(30,$M58+$N58+$O58)))</x:f>
      </x:c>
      <x:c r="S58" s="17">
        <x:f>IF($B58="","",$P58+$Q58+$R58)</x:f>
      </x:c>
      <x:c r="T58" s="17">
        <x:f>IF($S58="","",IF($S58&gt;=90,"A+",IF($S58&gt;=80,"A",IF($S58&gt;=70,"B",IF($S58&gt;=60,"C","D")))))</x:f>
      </x:c>
      <x:c r="U58" s="17">
        <x:f>IF($T58="","",IF($T58="A+","正常合作 / 维持额度",IF($T58="A","正常合作 / 关注回款",IF($T58="B","控制新增赊销",IF($T58="C","降低额度 / 缩短账期","停供评估 / 法务关注")))))</x:f>
      </x:c>
      <x:c r="V58" s="13" t="n"/>
      <x:c r="W58" s="12" t="n"/>
    </x:row>
    <x:row r="59">
      <x:c r="A59" s="12" t="n"/>
      <x:c r="B59" s="12" t="n"/>
      <x:c r="C59" s="12" t="n"/>
      <x:c r="D59" s="12" t="n"/>
      <x:c r="E59" s="12" t="n"/>
      <x:c r="F59" s="12" t="n"/>
      <x:c r="G59" s="12" t="n"/>
      <x:c r="H59" s="12" t="n"/>
      <x:c r="I59" s="12" t="n"/>
      <x:c r="J59" s="12" t="n"/>
      <x:c r="K59" s="12" t="n"/>
      <x:c r="L59" s="12" t="n"/>
      <x:c r="M59" s="12" t="n"/>
      <x:c r="N59" s="12" t="n"/>
      <x:c r="O59" s="12" t="n"/>
      <x:c r="P59" s="17">
        <x:f>IF($B59="","",MAX(0,40-$D59*Params!$B$2-$E59*Params!$B$3-IF($F59="是",Params!$B$4,0)-IF($G59="是",Params!$B$5,0)-IF($H59&gt;=1,Params!$B$6,0)-IF($I59&gt;90,Params!$B$8,IF($I59&gt;60,Params!$B$7,0))))</x:f>
      </x:c>
      <x:c r="Q59" s="17">
        <x:f>IF($B59="","",MAX(0,MIN(30,$J59+$K59+$L59)))</x:f>
      </x:c>
      <x:c r="R59" s="17">
        <x:f>IF($B59="","",MAX(0,MIN(30,$M59+$N59+$O59)))</x:f>
      </x:c>
      <x:c r="S59" s="17">
        <x:f>IF($B59="","",$P59+$Q59+$R59)</x:f>
      </x:c>
      <x:c r="T59" s="17">
        <x:f>IF($S59="","",IF($S59&gt;=90,"A+",IF($S59&gt;=80,"A",IF($S59&gt;=70,"B",IF($S59&gt;=60,"C","D")))))</x:f>
      </x:c>
      <x:c r="U59" s="17">
        <x:f>IF($T59="","",IF($T59="A+","正常合作 / 维持额度",IF($T59="A","正常合作 / 关注回款",IF($T59="B","控制新增赊销",IF($T59="C","降低额度 / 缩短账期","停供评估 / 法务关注")))))</x:f>
      </x:c>
      <x:c r="V59" s="13" t="n"/>
      <x:c r="W59" s="12" t="n"/>
    </x:row>
    <x:row r="60">
      <x:c r="A60" s="12" t="n"/>
      <x:c r="B60" s="12" t="n"/>
      <x:c r="C60" s="12" t="n"/>
      <x:c r="D60" s="12" t="n"/>
      <x:c r="E60" s="12" t="n"/>
      <x:c r="F60" s="12" t="n"/>
      <x:c r="G60" s="12" t="n"/>
      <x:c r="H60" s="12" t="n"/>
      <x:c r="I60" s="12" t="n"/>
      <x:c r="J60" s="12" t="n"/>
      <x:c r="K60" s="12" t="n"/>
      <x:c r="L60" s="12" t="n"/>
      <x:c r="M60" s="12" t="n"/>
      <x:c r="N60" s="12" t="n"/>
      <x:c r="O60" s="12" t="n"/>
      <x:c r="P60" s="17">
        <x:f>IF($B60="","",MAX(0,40-$D60*Params!$B$2-$E60*Params!$B$3-IF($F60="是",Params!$B$4,0)-IF($G60="是",Params!$B$5,0)-IF($H60&gt;=1,Params!$B$6,0)-IF($I60&gt;90,Params!$B$8,IF($I60&gt;60,Params!$B$7,0))))</x:f>
      </x:c>
      <x:c r="Q60" s="17">
        <x:f>IF($B60="","",MAX(0,MIN(30,$J60+$K60+$L60)))</x:f>
      </x:c>
      <x:c r="R60" s="17">
        <x:f>IF($B60="","",MAX(0,MIN(30,$M60+$N60+$O60)))</x:f>
      </x:c>
      <x:c r="S60" s="17">
        <x:f>IF($B60="","",$P60+$Q60+$R60)</x:f>
      </x:c>
      <x:c r="T60" s="17">
        <x:f>IF($S60="","",IF($S60&gt;=90,"A+",IF($S60&gt;=80,"A",IF($S60&gt;=70,"B",IF($S60&gt;=60,"C","D")))))</x:f>
      </x:c>
      <x:c r="U60" s="17">
        <x:f>IF($T60="","",IF($T60="A+","正常合作 / 维持额度",IF($T60="A","正常合作 / 关注回款",IF($T60="B","控制新增赊销",IF($T60="C","降低额度 / 缩短账期","停供评估 / 法务关注")))))</x:f>
      </x:c>
      <x:c r="V60" s="13" t="n"/>
      <x:c r="W60" s="12" t="n"/>
    </x:row>
    <x:row r="61">
      <x:c r="A61" s="12" t="n"/>
      <x:c r="B61" s="12" t="n"/>
      <x:c r="C61" s="12" t="n"/>
      <x:c r="D61" s="12" t="n"/>
      <x:c r="E61" s="12" t="n"/>
      <x:c r="F61" s="12" t="n"/>
      <x:c r="G61" s="12" t="n"/>
      <x:c r="H61" s="12" t="n"/>
      <x:c r="I61" s="12" t="n"/>
      <x:c r="J61" s="12" t="n"/>
      <x:c r="K61" s="12" t="n"/>
      <x:c r="L61" s="12" t="n"/>
      <x:c r="M61" s="12" t="n"/>
      <x:c r="N61" s="12" t="n"/>
      <x:c r="O61" s="12" t="n"/>
      <x:c r="P61" s="17">
        <x:f>IF($B61="","",MAX(0,40-$D61*Params!$B$2-$E61*Params!$B$3-IF($F61="是",Params!$B$4,0)-IF($G61="是",Params!$B$5,0)-IF($H61&gt;=1,Params!$B$6,0)-IF($I61&gt;90,Params!$B$8,IF($I61&gt;60,Params!$B$7,0))))</x:f>
      </x:c>
      <x:c r="Q61" s="17">
        <x:f>IF($B61="","",MAX(0,MIN(30,$J61+$K61+$L61)))</x:f>
      </x:c>
      <x:c r="R61" s="17">
        <x:f>IF($B61="","",MAX(0,MIN(30,$M61+$N61+$O61)))</x:f>
      </x:c>
      <x:c r="S61" s="17">
        <x:f>IF($B61="","",$P61+$Q61+$R61)</x:f>
      </x:c>
      <x:c r="T61" s="17">
        <x:f>IF($S61="","",IF($S61&gt;=90,"A+",IF($S61&gt;=80,"A",IF($S61&gt;=70,"B",IF($S61&gt;=60,"C","D")))))</x:f>
      </x:c>
      <x:c r="U61" s="17">
        <x:f>IF($T61="","",IF($T61="A+","正常合作 / 维持额度",IF($T61="A","正常合作 / 关注回款",IF($T61="B","控制新增赊销",IF($T61="C","降低额度 / 缩短账期","停供评估 / 法务关注")))))</x:f>
      </x:c>
      <x:c r="V61" s="13" t="n"/>
      <x:c r="W61" s="12" t="n"/>
    </x:row>
    <x:row r="62">
      <x:c r="A62" s="12" t="n"/>
      <x:c r="B62" s="12" t="n"/>
      <x:c r="C62" s="12" t="n"/>
      <x:c r="D62" s="12" t="n"/>
      <x:c r="E62" s="12" t="n"/>
      <x:c r="F62" s="12" t="n"/>
      <x:c r="G62" s="12" t="n"/>
      <x:c r="H62" s="12" t="n"/>
      <x:c r="I62" s="12" t="n"/>
      <x:c r="J62" s="12" t="n"/>
      <x:c r="K62" s="12" t="n"/>
      <x:c r="L62" s="12" t="n"/>
      <x:c r="M62" s="12" t="n"/>
      <x:c r="N62" s="12" t="n"/>
      <x:c r="O62" s="12" t="n"/>
      <x:c r="P62" s="17">
        <x:f>IF($B62="","",MAX(0,40-$D62*Params!$B$2-$E62*Params!$B$3-IF($F62="是",Params!$B$4,0)-IF($G62="是",Params!$B$5,0)-IF($H62&gt;=1,Params!$B$6,0)-IF($I62&gt;90,Params!$B$8,IF($I62&gt;60,Params!$B$7,0))))</x:f>
      </x:c>
      <x:c r="Q62" s="17">
        <x:f>IF($B62="","",MAX(0,MIN(30,$J62+$K62+$L62)))</x:f>
      </x:c>
      <x:c r="R62" s="17">
        <x:f>IF($B62="","",MAX(0,MIN(30,$M62+$N62+$O62)))</x:f>
      </x:c>
      <x:c r="S62" s="17">
        <x:f>IF($B62="","",$P62+$Q62+$R62)</x:f>
      </x:c>
      <x:c r="T62" s="17">
        <x:f>IF($S62="","",IF($S62&gt;=90,"A+",IF($S62&gt;=80,"A",IF($S62&gt;=70,"B",IF($S62&gt;=60,"C","D")))))</x:f>
      </x:c>
      <x:c r="U62" s="17">
        <x:f>IF($T62="","",IF($T62="A+","正常合作 / 维持额度",IF($T62="A","正常合作 / 关注回款",IF($T62="B","控制新增赊销",IF($T62="C","降低额度 / 缩短账期","停供评估 / 法务关注")))))</x:f>
      </x:c>
      <x:c r="V62" s="13" t="n"/>
      <x:c r="W62" s="12" t="n"/>
    </x:row>
    <x:row r="63">
      <x:c r="A63" s="12" t="n"/>
      <x:c r="B63" s="12" t="n"/>
      <x:c r="C63" s="12" t="n"/>
      <x:c r="D63" s="12" t="n"/>
      <x:c r="E63" s="12" t="n"/>
      <x:c r="F63" s="12" t="n"/>
      <x:c r="G63" s="12" t="n"/>
      <x:c r="H63" s="12" t="n"/>
      <x:c r="I63" s="12" t="n"/>
      <x:c r="J63" s="12" t="n"/>
      <x:c r="K63" s="12" t="n"/>
      <x:c r="L63" s="12" t="n"/>
      <x:c r="M63" s="12" t="n"/>
      <x:c r="N63" s="12" t="n"/>
      <x:c r="O63" s="12" t="n"/>
      <x:c r="P63" s="17">
        <x:f>IF($B63="","",MAX(0,40-$D63*Params!$B$2-$E63*Params!$B$3-IF($F63="是",Params!$B$4,0)-IF($G63="是",Params!$B$5,0)-IF($H63&gt;=1,Params!$B$6,0)-IF($I63&gt;90,Params!$B$8,IF($I63&gt;60,Params!$B$7,0))))</x:f>
      </x:c>
      <x:c r="Q63" s="17">
        <x:f>IF($B63="","",MAX(0,MIN(30,$J63+$K63+$L63)))</x:f>
      </x:c>
      <x:c r="R63" s="17">
        <x:f>IF($B63="","",MAX(0,MIN(30,$M63+$N63+$O63)))</x:f>
      </x:c>
      <x:c r="S63" s="17">
        <x:f>IF($B63="","",$P63+$Q63+$R63)</x:f>
      </x:c>
      <x:c r="T63" s="17">
        <x:f>IF($S63="","",IF($S63&gt;=90,"A+",IF($S63&gt;=80,"A",IF($S63&gt;=70,"B",IF($S63&gt;=60,"C","D")))))</x:f>
      </x:c>
      <x:c r="U63" s="17">
        <x:f>IF($T63="","",IF($T63="A+","正常合作 / 维持额度",IF($T63="A","正常合作 / 关注回款",IF($T63="B","控制新增赊销",IF($T63="C","降低额度 / 缩短账期","停供评估 / 法务关注")))))</x:f>
      </x:c>
      <x:c r="V63" s="13" t="n"/>
      <x:c r="W63" s="12" t="n"/>
    </x:row>
    <x:row r="64">
      <x:c r="A64" s="12" t="n"/>
      <x:c r="B64" s="12" t="n"/>
      <x:c r="C64" s="12" t="n"/>
      <x:c r="D64" s="12" t="n"/>
      <x:c r="E64" s="12" t="n"/>
      <x:c r="F64" s="12" t="n"/>
      <x:c r="G64" s="12" t="n"/>
      <x:c r="H64" s="12" t="n"/>
      <x:c r="I64" s="12" t="n"/>
      <x:c r="J64" s="12" t="n"/>
      <x:c r="K64" s="12" t="n"/>
      <x:c r="L64" s="12" t="n"/>
      <x:c r="M64" s="12" t="n"/>
      <x:c r="N64" s="12" t="n"/>
      <x:c r="O64" s="12" t="n"/>
      <x:c r="P64" s="17">
        <x:f>IF($B64="","",MAX(0,40-$D64*Params!$B$2-$E64*Params!$B$3-IF($F64="是",Params!$B$4,0)-IF($G64="是",Params!$B$5,0)-IF($H64&gt;=1,Params!$B$6,0)-IF($I64&gt;90,Params!$B$8,IF($I64&gt;60,Params!$B$7,0))))</x:f>
      </x:c>
      <x:c r="Q64" s="17">
        <x:f>IF($B64="","",MAX(0,MIN(30,$J64+$K64+$L64)))</x:f>
      </x:c>
      <x:c r="R64" s="17">
        <x:f>IF($B64="","",MAX(0,MIN(30,$M64+$N64+$O64)))</x:f>
      </x:c>
      <x:c r="S64" s="17">
        <x:f>IF($B64="","",$P64+$Q64+$R64)</x:f>
      </x:c>
      <x:c r="T64" s="17">
        <x:f>IF($S64="","",IF($S64&gt;=90,"A+",IF($S64&gt;=80,"A",IF($S64&gt;=70,"B",IF($S64&gt;=60,"C","D")))))</x:f>
      </x:c>
      <x:c r="U64" s="17">
        <x:f>IF($T64="","",IF($T64="A+","正常合作 / 维持额度",IF($T64="A","正常合作 / 关注回款",IF($T64="B","控制新增赊销",IF($T64="C","降低额度 / 缩短账期","停供评估 / 法务关注")))))</x:f>
      </x:c>
      <x:c r="V64" s="13" t="n"/>
      <x:c r="W64" s="12" t="n"/>
    </x:row>
    <x:row r="65">
      <x:c r="A65" s="12" t="n"/>
      <x:c r="B65" s="12" t="n"/>
      <x:c r="C65" s="12" t="n"/>
      <x:c r="D65" s="12" t="n"/>
      <x:c r="E65" s="12" t="n"/>
      <x:c r="F65" s="12" t="n"/>
      <x:c r="G65" s="12" t="n"/>
      <x:c r="H65" s="12" t="n"/>
      <x:c r="I65" s="12" t="n"/>
      <x:c r="J65" s="12" t="n"/>
      <x:c r="K65" s="12" t="n"/>
      <x:c r="L65" s="12" t="n"/>
      <x:c r="M65" s="12" t="n"/>
      <x:c r="N65" s="12" t="n"/>
      <x:c r="O65" s="12" t="n"/>
      <x:c r="P65" s="17">
        <x:f>IF($B65="","",MAX(0,40-$D65*Params!$B$2-$E65*Params!$B$3-IF($F65="是",Params!$B$4,0)-IF($G65="是",Params!$B$5,0)-IF($H65&gt;=1,Params!$B$6,0)-IF($I65&gt;90,Params!$B$8,IF($I65&gt;60,Params!$B$7,0))))</x:f>
      </x:c>
      <x:c r="Q65" s="17">
        <x:f>IF($B65="","",MAX(0,MIN(30,$J65+$K65+$L65)))</x:f>
      </x:c>
      <x:c r="R65" s="17">
        <x:f>IF($B65="","",MAX(0,MIN(30,$M65+$N65+$O65)))</x:f>
      </x:c>
      <x:c r="S65" s="17">
        <x:f>IF($B65="","",$P65+$Q65+$R65)</x:f>
      </x:c>
      <x:c r="T65" s="17">
        <x:f>IF($S65="","",IF($S65&gt;=90,"A+",IF($S65&gt;=80,"A",IF($S65&gt;=70,"B",IF($S65&gt;=60,"C","D")))))</x:f>
      </x:c>
      <x:c r="U65" s="17">
        <x:f>IF($T65="","",IF($T65="A+","正常合作 / 维持额度",IF($T65="A","正常合作 / 关注回款",IF($T65="B","控制新增赊销",IF($T65="C","降低额度 / 缩短账期","停供评估 / 法务关注")))))</x:f>
      </x:c>
      <x:c r="V65" s="13" t="n"/>
      <x:c r="W65" s="12" t="n"/>
    </x:row>
    <x:row r="66">
      <x:c r="A66" s="12" t="n"/>
      <x:c r="B66" s="12" t="n"/>
      <x:c r="C66" s="12" t="n"/>
      <x:c r="D66" s="12" t="n"/>
      <x:c r="E66" s="12" t="n"/>
      <x:c r="F66" s="12" t="n"/>
      <x:c r="G66" s="12" t="n"/>
      <x:c r="H66" s="12" t="n"/>
      <x:c r="I66" s="12" t="n"/>
      <x:c r="J66" s="12" t="n"/>
      <x:c r="K66" s="12" t="n"/>
      <x:c r="L66" s="12" t="n"/>
      <x:c r="M66" s="12" t="n"/>
      <x:c r="N66" s="12" t="n"/>
      <x:c r="O66" s="12" t="n"/>
      <x:c r="P66" s="17">
        <x:f>IF($B66="","",MAX(0,40-$D66*Params!$B$2-$E66*Params!$B$3-IF($F66="是",Params!$B$4,0)-IF($G66="是",Params!$B$5,0)-IF($H66&gt;=1,Params!$B$6,0)-IF($I66&gt;90,Params!$B$8,IF($I66&gt;60,Params!$B$7,0))))</x:f>
      </x:c>
      <x:c r="Q66" s="17">
        <x:f>IF($B66="","",MAX(0,MIN(30,$J66+$K66+$L66)))</x:f>
      </x:c>
      <x:c r="R66" s="17">
        <x:f>IF($B66="","",MAX(0,MIN(30,$M66+$N66+$O66)))</x:f>
      </x:c>
      <x:c r="S66" s="17">
        <x:f>IF($B66="","",$P66+$Q66+$R66)</x:f>
      </x:c>
      <x:c r="T66" s="17">
        <x:f>IF($S66="","",IF($S66&gt;=90,"A+",IF($S66&gt;=80,"A",IF($S66&gt;=70,"B",IF($S66&gt;=60,"C","D")))))</x:f>
      </x:c>
      <x:c r="U66" s="17">
        <x:f>IF($T66="","",IF($T66="A+","正常合作 / 维持额度",IF($T66="A","正常合作 / 关注回款",IF($T66="B","控制新增赊销",IF($T66="C","降低额度 / 缩短账期","停供评估 / 法务关注")))))</x:f>
      </x:c>
      <x:c r="V66" s="13" t="n"/>
      <x:c r="W66" s="12" t="n"/>
    </x:row>
    <x:row r="67">
      <x:c r="A67" s="12" t="n"/>
      <x:c r="B67" s="12" t="n"/>
      <x:c r="C67" s="12" t="n"/>
      <x:c r="D67" s="12" t="n"/>
      <x:c r="E67" s="12" t="n"/>
      <x:c r="F67" s="12" t="n"/>
      <x:c r="G67" s="12" t="n"/>
      <x:c r="H67" s="12" t="n"/>
      <x:c r="I67" s="12" t="n"/>
      <x:c r="J67" s="12" t="n"/>
      <x:c r="K67" s="12" t="n"/>
      <x:c r="L67" s="12" t="n"/>
      <x:c r="M67" s="12" t="n"/>
      <x:c r="N67" s="12" t="n"/>
      <x:c r="O67" s="12" t="n"/>
      <x:c r="P67" s="17">
        <x:f>IF($B67="","",MAX(0,40-$D67*Params!$B$2-$E67*Params!$B$3-IF($F67="是",Params!$B$4,0)-IF($G67="是",Params!$B$5,0)-IF($H67&gt;=1,Params!$B$6,0)-IF($I67&gt;90,Params!$B$8,IF($I67&gt;60,Params!$B$7,0))))</x:f>
      </x:c>
      <x:c r="Q67" s="17">
        <x:f>IF($B67="","",MAX(0,MIN(30,$J67+$K67+$L67)))</x:f>
      </x:c>
      <x:c r="R67" s="17">
        <x:f>IF($B67="","",MAX(0,MIN(30,$M67+$N67+$O67)))</x:f>
      </x:c>
      <x:c r="S67" s="17">
        <x:f>IF($B67="","",$P67+$Q67+$R67)</x:f>
      </x:c>
      <x:c r="T67" s="17">
        <x:f>IF($S67="","",IF($S67&gt;=90,"A+",IF($S67&gt;=80,"A",IF($S67&gt;=70,"B",IF($S67&gt;=60,"C","D")))))</x:f>
      </x:c>
      <x:c r="U67" s="17">
        <x:f>IF($T67="","",IF($T67="A+","正常合作 / 维持额度",IF($T67="A","正常合作 / 关注回款",IF($T67="B","控制新增赊销",IF($T67="C","降低额度 / 缩短账期","停供评估 / 法务关注")))))</x:f>
      </x:c>
      <x:c r="V67" s="13" t="n"/>
      <x:c r="W67" s="12" t="n"/>
    </x:row>
    <x:row r="68">
      <x:c r="A68" s="12" t="n"/>
      <x:c r="B68" s="12" t="n"/>
      <x:c r="C68" s="12" t="n"/>
      <x:c r="D68" s="12" t="n"/>
      <x:c r="E68" s="12" t="n"/>
      <x:c r="F68" s="12" t="n"/>
      <x:c r="G68" s="12" t="n"/>
      <x:c r="H68" s="12" t="n"/>
      <x:c r="I68" s="12" t="n"/>
      <x:c r="J68" s="12" t="n"/>
      <x:c r="K68" s="12" t="n"/>
      <x:c r="L68" s="12" t="n"/>
      <x:c r="M68" s="12" t="n"/>
      <x:c r="N68" s="12" t="n"/>
      <x:c r="O68" s="12" t="n"/>
      <x:c r="P68" s="17">
        <x:f>IF($B68="","",MAX(0,40-$D68*Params!$B$2-$E68*Params!$B$3-IF($F68="是",Params!$B$4,0)-IF($G68="是",Params!$B$5,0)-IF($H68&gt;=1,Params!$B$6,0)-IF($I68&gt;90,Params!$B$8,IF($I68&gt;60,Params!$B$7,0))))</x:f>
      </x:c>
      <x:c r="Q68" s="17">
        <x:f>IF($B68="","",MAX(0,MIN(30,$J68+$K68+$L68)))</x:f>
      </x:c>
      <x:c r="R68" s="17">
        <x:f>IF($B68="","",MAX(0,MIN(30,$M68+$N68+$O68)))</x:f>
      </x:c>
      <x:c r="S68" s="17">
        <x:f>IF($B68="","",$P68+$Q68+$R68)</x:f>
      </x:c>
      <x:c r="T68" s="17">
        <x:f>IF($S68="","",IF($S68&gt;=90,"A+",IF($S68&gt;=80,"A",IF($S68&gt;=70,"B",IF($S68&gt;=60,"C","D")))))</x:f>
      </x:c>
      <x:c r="U68" s="17">
        <x:f>IF($T68="","",IF($T68="A+","正常合作 / 维持额度",IF($T68="A","正常合作 / 关注回款",IF($T68="B","控制新增赊销",IF($T68="C","降低额度 / 缩短账期","停供评估 / 法务关注")))))</x:f>
      </x:c>
      <x:c r="V68" s="13" t="n"/>
      <x:c r="W68" s="12" t="n"/>
    </x:row>
    <x:row r="69">
      <x:c r="A69" s="12" t="n"/>
      <x:c r="B69" s="12" t="n"/>
      <x:c r="C69" s="12" t="n"/>
      <x:c r="D69" s="12" t="n"/>
      <x:c r="E69" s="12" t="n"/>
      <x:c r="F69" s="12" t="n"/>
      <x:c r="G69" s="12" t="n"/>
      <x:c r="H69" s="12" t="n"/>
      <x:c r="I69" s="12" t="n"/>
      <x:c r="J69" s="12" t="n"/>
      <x:c r="K69" s="12" t="n"/>
      <x:c r="L69" s="12" t="n"/>
      <x:c r="M69" s="12" t="n"/>
      <x:c r="N69" s="12" t="n"/>
      <x:c r="O69" s="12" t="n"/>
      <x:c r="P69" s="17">
        <x:f>IF($B69="","",MAX(0,40-$D69*Params!$B$2-$E69*Params!$B$3-IF($F69="是",Params!$B$4,0)-IF($G69="是",Params!$B$5,0)-IF($H69&gt;=1,Params!$B$6,0)-IF($I69&gt;90,Params!$B$8,IF($I69&gt;60,Params!$B$7,0))))</x:f>
      </x:c>
      <x:c r="Q69" s="17">
        <x:f>IF($B69="","",MAX(0,MIN(30,$J69+$K69+$L69)))</x:f>
      </x:c>
      <x:c r="R69" s="17">
        <x:f>IF($B69="","",MAX(0,MIN(30,$M69+$N69+$O69)))</x:f>
      </x:c>
      <x:c r="S69" s="17">
        <x:f>IF($B69="","",$P69+$Q69+$R69)</x:f>
      </x:c>
      <x:c r="T69" s="17">
        <x:f>IF($S69="","",IF($S69&gt;=90,"A+",IF($S69&gt;=80,"A",IF($S69&gt;=70,"B",IF($S69&gt;=60,"C","D")))))</x:f>
      </x:c>
      <x:c r="U69" s="17">
        <x:f>IF($T69="","",IF($T69="A+","正常合作 / 维持额度",IF($T69="A","正常合作 / 关注回款",IF($T69="B","控制新增赊销",IF($T69="C","降低额度 / 缩短账期","停供评估 / 法务关注")))))</x:f>
      </x:c>
      <x:c r="V69" s="13" t="n"/>
      <x:c r="W69" s="12" t="n"/>
    </x:row>
    <x:row r="70">
      <x:c r="A70" s="12" t="n"/>
      <x:c r="B70" s="12" t="n"/>
      <x:c r="C70" s="12" t="n"/>
      <x:c r="D70" s="12" t="n"/>
      <x:c r="E70" s="12" t="n"/>
      <x:c r="F70" s="12" t="n"/>
      <x:c r="G70" s="12" t="n"/>
      <x:c r="H70" s="12" t="n"/>
      <x:c r="I70" s="12" t="n"/>
      <x:c r="J70" s="12" t="n"/>
      <x:c r="K70" s="12" t="n"/>
      <x:c r="L70" s="12" t="n"/>
      <x:c r="M70" s="12" t="n"/>
      <x:c r="N70" s="12" t="n"/>
      <x:c r="O70" s="12" t="n"/>
      <x:c r="P70" s="17">
        <x:f>IF($B70="","",MAX(0,40-$D70*Params!$B$2-$E70*Params!$B$3-IF($F70="是",Params!$B$4,0)-IF($G70="是",Params!$B$5,0)-IF($H70&gt;=1,Params!$B$6,0)-IF($I70&gt;90,Params!$B$8,IF($I70&gt;60,Params!$B$7,0))))</x:f>
      </x:c>
      <x:c r="Q70" s="17">
        <x:f>IF($B70="","",MAX(0,MIN(30,$J70+$K70+$L70)))</x:f>
      </x:c>
      <x:c r="R70" s="17">
        <x:f>IF($B70="","",MAX(0,MIN(30,$M70+$N70+$O70)))</x:f>
      </x:c>
      <x:c r="S70" s="17">
        <x:f>IF($B70="","",$P70+$Q70+$R70)</x:f>
      </x:c>
      <x:c r="T70" s="17">
        <x:f>IF($S70="","",IF($S70&gt;=90,"A+",IF($S70&gt;=80,"A",IF($S70&gt;=70,"B",IF($S70&gt;=60,"C","D")))))</x:f>
      </x:c>
      <x:c r="U70" s="17">
        <x:f>IF($T70="","",IF($T70="A+","正常合作 / 维持额度",IF($T70="A","正常合作 / 关注回款",IF($T70="B","控制新增赊销",IF($T70="C","降低额度 / 缩短账期","停供评估 / 法务关注")))))</x:f>
      </x:c>
      <x:c r="V70" s="13" t="n"/>
      <x:c r="W70" s="12" t="n"/>
    </x:row>
    <x:row r="71">
      <x:c r="A71" s="12" t="n"/>
      <x:c r="B71" s="12" t="n"/>
      <x:c r="C71" s="12" t="n"/>
      <x:c r="D71" s="12" t="n"/>
      <x:c r="E71" s="12" t="n"/>
      <x:c r="F71" s="12" t="n"/>
      <x:c r="G71" s="12" t="n"/>
      <x:c r="H71" s="12" t="n"/>
      <x:c r="I71" s="12" t="n"/>
      <x:c r="J71" s="12" t="n"/>
      <x:c r="K71" s="12" t="n"/>
      <x:c r="L71" s="12" t="n"/>
      <x:c r="M71" s="12" t="n"/>
      <x:c r="N71" s="12" t="n"/>
      <x:c r="O71" s="12" t="n"/>
      <x:c r="P71" s="17">
        <x:f>IF($B71="","",MAX(0,40-$D71*Params!$B$2-$E71*Params!$B$3-IF($F71="是",Params!$B$4,0)-IF($G71="是",Params!$B$5,0)-IF($H71&gt;=1,Params!$B$6,0)-IF($I71&gt;90,Params!$B$8,IF($I71&gt;60,Params!$B$7,0))))</x:f>
      </x:c>
      <x:c r="Q71" s="17">
        <x:f>IF($B71="","",MAX(0,MIN(30,$J71+$K71+$L71)))</x:f>
      </x:c>
      <x:c r="R71" s="17">
        <x:f>IF($B71="","",MAX(0,MIN(30,$M71+$N71+$O71)))</x:f>
      </x:c>
      <x:c r="S71" s="17">
        <x:f>IF($B71="","",$P71+$Q71+$R71)</x:f>
      </x:c>
      <x:c r="T71" s="17">
        <x:f>IF($S71="","",IF($S71&gt;=90,"A+",IF($S71&gt;=80,"A",IF($S71&gt;=70,"B",IF($S71&gt;=60,"C","D")))))</x:f>
      </x:c>
      <x:c r="U71" s="17">
        <x:f>IF($T71="","",IF($T71="A+","正常合作 / 维持额度",IF($T71="A","正常合作 / 关注回款",IF($T71="B","控制新增赊销",IF($T71="C","降低额度 / 缩短账期","停供评估 / 法务关注")))))</x:f>
      </x:c>
      <x:c r="V71" s="13" t="n"/>
      <x:c r="W71" s="12" t="n"/>
    </x:row>
    <x:row r="72">
      <x:c r="A72" s="12" t="n"/>
      <x:c r="B72" s="12" t="n"/>
      <x:c r="C72" s="12" t="n"/>
      <x:c r="D72" s="12" t="n"/>
      <x:c r="E72" s="12" t="n"/>
      <x:c r="F72" s="12" t="n"/>
      <x:c r="G72" s="12" t="n"/>
      <x:c r="H72" s="12" t="n"/>
      <x:c r="I72" s="12" t="n"/>
      <x:c r="J72" s="12" t="n"/>
      <x:c r="K72" s="12" t="n"/>
      <x:c r="L72" s="12" t="n"/>
      <x:c r="M72" s="12" t="n"/>
      <x:c r="N72" s="12" t="n"/>
      <x:c r="O72" s="12" t="n"/>
      <x:c r="P72" s="17">
        <x:f>IF($B72="","",MAX(0,40-$D72*Params!$B$2-$E72*Params!$B$3-IF($F72="是",Params!$B$4,0)-IF($G72="是",Params!$B$5,0)-IF($H72&gt;=1,Params!$B$6,0)-IF($I72&gt;90,Params!$B$8,IF($I72&gt;60,Params!$B$7,0))))</x:f>
      </x:c>
      <x:c r="Q72" s="17">
        <x:f>IF($B72="","",MAX(0,MIN(30,$J72+$K72+$L72)))</x:f>
      </x:c>
      <x:c r="R72" s="17">
        <x:f>IF($B72="","",MAX(0,MIN(30,$M72+$N72+$O72)))</x:f>
      </x:c>
      <x:c r="S72" s="17">
        <x:f>IF($B72="","",$P72+$Q72+$R72)</x:f>
      </x:c>
      <x:c r="T72" s="17">
        <x:f>IF($S72="","",IF($S72&gt;=90,"A+",IF($S72&gt;=80,"A",IF($S72&gt;=70,"B",IF($S72&gt;=60,"C","D")))))</x:f>
      </x:c>
      <x:c r="U72" s="17">
        <x:f>IF($T72="","",IF($T72="A+","正常合作 / 维持额度",IF($T72="A","正常合作 / 关注回款",IF($T72="B","控制新增赊销",IF($T72="C","降低额度 / 缩短账期","停供评估 / 法务关注")))))</x:f>
      </x:c>
      <x:c r="V72" s="13" t="n"/>
      <x:c r="W72" s="12" t="n"/>
    </x:row>
    <x:row r="73">
      <x:c r="A73" s="12" t="n"/>
      <x:c r="B73" s="12" t="n"/>
      <x:c r="C73" s="12" t="n"/>
      <x:c r="D73" s="12" t="n"/>
      <x:c r="E73" s="12" t="n"/>
      <x:c r="F73" s="12" t="n"/>
      <x:c r="G73" s="12" t="n"/>
      <x:c r="H73" s="12" t="n"/>
      <x:c r="I73" s="12" t="n"/>
      <x:c r="J73" s="12" t="n"/>
      <x:c r="K73" s="12" t="n"/>
      <x:c r="L73" s="12" t="n"/>
      <x:c r="M73" s="12" t="n"/>
      <x:c r="N73" s="12" t="n"/>
      <x:c r="O73" s="12" t="n"/>
      <x:c r="P73" s="17">
        <x:f>IF($B73="","",MAX(0,40-$D73*Params!$B$2-$E73*Params!$B$3-IF($F73="是",Params!$B$4,0)-IF($G73="是",Params!$B$5,0)-IF($H73&gt;=1,Params!$B$6,0)-IF($I73&gt;90,Params!$B$8,IF($I73&gt;60,Params!$B$7,0))))</x:f>
      </x:c>
      <x:c r="Q73" s="17">
        <x:f>IF($B73="","",MAX(0,MIN(30,$J73+$K73+$L73)))</x:f>
      </x:c>
      <x:c r="R73" s="17">
        <x:f>IF($B73="","",MAX(0,MIN(30,$M73+$N73+$O73)))</x:f>
      </x:c>
      <x:c r="S73" s="17">
        <x:f>IF($B73="","",$P73+$Q73+$R73)</x:f>
      </x:c>
      <x:c r="T73" s="17">
        <x:f>IF($S73="","",IF($S73&gt;=90,"A+",IF($S73&gt;=80,"A",IF($S73&gt;=70,"B",IF($S73&gt;=60,"C","D")))))</x:f>
      </x:c>
      <x:c r="U73" s="17">
        <x:f>IF($T73="","",IF($T73="A+","正常合作 / 维持额度",IF($T73="A","正常合作 / 关注回款",IF($T73="B","控制新增赊销",IF($T73="C","降低额度 / 缩短账期","停供评估 / 法务关注")))))</x:f>
      </x:c>
      <x:c r="V73" s="13" t="n"/>
      <x:c r="W73" s="12" t="n"/>
    </x:row>
    <x:row r="74">
      <x:c r="A74" s="12" t="n"/>
      <x:c r="B74" s="12" t="n"/>
      <x:c r="C74" s="12" t="n"/>
      <x:c r="D74" s="12" t="n"/>
      <x:c r="E74" s="12" t="n"/>
      <x:c r="F74" s="12" t="n"/>
      <x:c r="G74" s="12" t="n"/>
      <x:c r="H74" s="12" t="n"/>
      <x:c r="I74" s="12" t="n"/>
      <x:c r="J74" s="12" t="n"/>
      <x:c r="K74" s="12" t="n"/>
      <x:c r="L74" s="12" t="n"/>
      <x:c r="M74" s="12" t="n"/>
      <x:c r="N74" s="12" t="n"/>
      <x:c r="O74" s="12" t="n"/>
      <x:c r="P74" s="17">
        <x:f>IF($B74="","",MAX(0,40-$D74*Params!$B$2-$E74*Params!$B$3-IF($F74="是",Params!$B$4,0)-IF($G74="是",Params!$B$5,0)-IF($H74&gt;=1,Params!$B$6,0)-IF($I74&gt;90,Params!$B$8,IF($I74&gt;60,Params!$B$7,0))))</x:f>
      </x:c>
      <x:c r="Q74" s="17">
        <x:f>IF($B74="","",MAX(0,MIN(30,$J74+$K74+$L74)))</x:f>
      </x:c>
      <x:c r="R74" s="17">
        <x:f>IF($B74="","",MAX(0,MIN(30,$M74+$N74+$O74)))</x:f>
      </x:c>
      <x:c r="S74" s="17">
        <x:f>IF($B74="","",$P74+$Q74+$R74)</x:f>
      </x:c>
      <x:c r="T74" s="17">
        <x:f>IF($S74="","",IF($S74&gt;=90,"A+",IF($S74&gt;=80,"A",IF($S74&gt;=70,"B",IF($S74&gt;=60,"C","D")))))</x:f>
      </x:c>
      <x:c r="U74" s="17">
        <x:f>IF($T74="","",IF($T74="A+","正常合作 / 维持额度",IF($T74="A","正常合作 / 关注回款",IF($T74="B","控制新增赊销",IF($T74="C","降低额度 / 缩短账期","停供评估 / 法务关注")))))</x:f>
      </x:c>
      <x:c r="V74" s="13" t="n"/>
      <x:c r="W74" s="12" t="n"/>
    </x:row>
    <x:row r="75">
      <x:c r="A75" s="12" t="n"/>
      <x:c r="B75" s="12" t="n"/>
      <x:c r="C75" s="12" t="n"/>
      <x:c r="D75" s="12" t="n"/>
      <x:c r="E75" s="12" t="n"/>
      <x:c r="F75" s="12" t="n"/>
      <x:c r="G75" s="12" t="n"/>
      <x:c r="H75" s="12" t="n"/>
      <x:c r="I75" s="12" t="n"/>
      <x:c r="J75" s="12" t="n"/>
      <x:c r="K75" s="12" t="n"/>
      <x:c r="L75" s="12" t="n"/>
      <x:c r="M75" s="12" t="n"/>
      <x:c r="N75" s="12" t="n"/>
      <x:c r="O75" s="12" t="n"/>
      <x:c r="P75" s="17">
        <x:f>IF($B75="","",MAX(0,40-$D75*Params!$B$2-$E75*Params!$B$3-IF($F75="是",Params!$B$4,0)-IF($G75="是",Params!$B$5,0)-IF($H75&gt;=1,Params!$B$6,0)-IF($I75&gt;90,Params!$B$8,IF($I75&gt;60,Params!$B$7,0))))</x:f>
      </x:c>
      <x:c r="Q75" s="17">
        <x:f>IF($B75="","",MAX(0,MIN(30,$J75+$K75+$L75)))</x:f>
      </x:c>
      <x:c r="R75" s="17">
        <x:f>IF($B75="","",MAX(0,MIN(30,$M75+$N75+$O75)))</x:f>
      </x:c>
      <x:c r="S75" s="17">
        <x:f>IF($B75="","",$P75+$Q75+$R75)</x:f>
      </x:c>
      <x:c r="T75" s="17">
        <x:f>IF($S75="","",IF($S75&gt;=90,"A+",IF($S75&gt;=80,"A",IF($S75&gt;=70,"B",IF($S75&gt;=60,"C","D")))))</x:f>
      </x:c>
      <x:c r="U75" s="17">
        <x:f>IF($T75="","",IF($T75="A+","正常合作 / 维持额度",IF($T75="A","正常合作 / 关注回款",IF($T75="B","控制新增赊销",IF($T75="C","降低额度 / 缩短账期","停供评估 / 法务关注")))))</x:f>
      </x:c>
      <x:c r="V75" s="13" t="n"/>
      <x:c r="W75" s="12" t="n"/>
    </x:row>
    <x:row r="76">
      <x:c r="A76" s="12" t="n"/>
      <x:c r="B76" s="12" t="n"/>
      <x:c r="C76" s="12" t="n"/>
      <x:c r="D76" s="12" t="n"/>
      <x:c r="E76" s="12" t="n"/>
      <x:c r="F76" s="12" t="n"/>
      <x:c r="G76" s="12" t="n"/>
      <x:c r="H76" s="12" t="n"/>
      <x:c r="I76" s="12" t="n"/>
      <x:c r="J76" s="12" t="n"/>
      <x:c r="K76" s="12" t="n"/>
      <x:c r="L76" s="12" t="n"/>
      <x:c r="M76" s="12" t="n"/>
      <x:c r="N76" s="12" t="n"/>
      <x:c r="O76" s="12" t="n"/>
      <x:c r="P76" s="17">
        <x:f>IF($B76="","",MAX(0,40-$D76*Params!$B$2-$E76*Params!$B$3-IF($F76="是",Params!$B$4,0)-IF($G76="是",Params!$B$5,0)-IF($H76&gt;=1,Params!$B$6,0)-IF($I76&gt;90,Params!$B$8,IF($I76&gt;60,Params!$B$7,0))))</x:f>
      </x:c>
      <x:c r="Q76" s="17">
        <x:f>IF($B76="","",MAX(0,MIN(30,$J76+$K76+$L76)))</x:f>
      </x:c>
      <x:c r="R76" s="17">
        <x:f>IF($B76="","",MAX(0,MIN(30,$M76+$N76+$O76)))</x:f>
      </x:c>
      <x:c r="S76" s="17">
        <x:f>IF($B76="","",$P76+$Q76+$R76)</x:f>
      </x:c>
      <x:c r="T76" s="17">
        <x:f>IF($S76="","",IF($S76&gt;=90,"A+",IF($S76&gt;=80,"A",IF($S76&gt;=70,"B",IF($S76&gt;=60,"C","D")))))</x:f>
      </x:c>
      <x:c r="U76" s="17">
        <x:f>IF($T76="","",IF($T76="A+","正常合作 / 维持额度",IF($T76="A","正常合作 / 关注回款",IF($T76="B","控制新增赊销",IF($T76="C","降低额度 / 缩短账期","停供评估 / 法务关注")))))</x:f>
      </x:c>
      <x:c r="V76" s="13" t="n"/>
      <x:c r="W76" s="12" t="n"/>
    </x:row>
    <x:row r="77">
      <x:c r="A77" s="12" t="n"/>
      <x:c r="B77" s="12" t="n"/>
      <x:c r="C77" s="12" t="n"/>
      <x:c r="D77" s="12" t="n"/>
      <x:c r="E77" s="12" t="n"/>
      <x:c r="F77" s="12" t="n"/>
      <x:c r="G77" s="12" t="n"/>
      <x:c r="H77" s="12" t="n"/>
      <x:c r="I77" s="12" t="n"/>
      <x:c r="J77" s="12" t="n"/>
      <x:c r="K77" s="12" t="n"/>
      <x:c r="L77" s="12" t="n"/>
      <x:c r="M77" s="12" t="n"/>
      <x:c r="N77" s="12" t="n"/>
      <x:c r="O77" s="12" t="n"/>
      <x:c r="P77" s="17">
        <x:f>IF($B77="","",MAX(0,40-$D77*Params!$B$2-$E77*Params!$B$3-IF($F77="是",Params!$B$4,0)-IF($G77="是",Params!$B$5,0)-IF($H77&gt;=1,Params!$B$6,0)-IF($I77&gt;90,Params!$B$8,IF($I77&gt;60,Params!$B$7,0))))</x:f>
      </x:c>
      <x:c r="Q77" s="17">
        <x:f>IF($B77="","",MAX(0,MIN(30,$J77+$K77+$L77)))</x:f>
      </x:c>
      <x:c r="R77" s="17">
        <x:f>IF($B77="","",MAX(0,MIN(30,$M77+$N77+$O77)))</x:f>
      </x:c>
      <x:c r="S77" s="17">
        <x:f>IF($B77="","",$P77+$Q77+$R77)</x:f>
      </x:c>
      <x:c r="T77" s="17">
        <x:f>IF($S77="","",IF($S77&gt;=90,"A+",IF($S77&gt;=80,"A",IF($S77&gt;=70,"B",IF($S77&gt;=60,"C","D")))))</x:f>
      </x:c>
      <x:c r="U77" s="17">
        <x:f>IF($T77="","",IF($T77="A+","正常合作 / 维持额度",IF($T77="A","正常合作 / 关注回款",IF($T77="B","控制新增赊销",IF($T77="C","降低额度 / 缩短账期","停供评估 / 法务关注")))))</x:f>
      </x:c>
      <x:c r="V77" s="13" t="n"/>
      <x:c r="W77" s="12" t="n"/>
    </x:row>
    <x:row r="78">
      <x:c r="A78" s="12" t="n"/>
      <x:c r="B78" s="12" t="n"/>
      <x:c r="C78" s="12" t="n"/>
      <x:c r="D78" s="12" t="n"/>
      <x:c r="E78" s="12" t="n"/>
      <x:c r="F78" s="12" t="n"/>
      <x:c r="G78" s="12" t="n"/>
      <x:c r="H78" s="12" t="n"/>
      <x:c r="I78" s="12" t="n"/>
      <x:c r="J78" s="12" t="n"/>
      <x:c r="K78" s="12" t="n"/>
      <x:c r="L78" s="12" t="n"/>
      <x:c r="M78" s="12" t="n"/>
      <x:c r="N78" s="12" t="n"/>
      <x:c r="O78" s="12" t="n"/>
      <x:c r="P78" s="17">
        <x:f>IF($B78="","",MAX(0,40-$D78*Params!$B$2-$E78*Params!$B$3-IF($F78="是",Params!$B$4,0)-IF($G78="是",Params!$B$5,0)-IF($H78&gt;=1,Params!$B$6,0)-IF($I78&gt;90,Params!$B$8,IF($I78&gt;60,Params!$B$7,0))))</x:f>
      </x:c>
      <x:c r="Q78" s="17">
        <x:f>IF($B78="","",MAX(0,MIN(30,$J78+$K78+$L78)))</x:f>
      </x:c>
      <x:c r="R78" s="17">
        <x:f>IF($B78="","",MAX(0,MIN(30,$M78+$N78+$O78)))</x:f>
      </x:c>
      <x:c r="S78" s="17">
        <x:f>IF($B78="","",$P78+$Q78+$R78)</x:f>
      </x:c>
      <x:c r="T78" s="17">
        <x:f>IF($S78="","",IF($S78&gt;=90,"A+",IF($S78&gt;=80,"A",IF($S78&gt;=70,"B",IF($S78&gt;=60,"C","D")))))</x:f>
      </x:c>
      <x:c r="U78" s="17">
        <x:f>IF($T78="","",IF($T78="A+","正常合作 / 维持额度",IF($T78="A","正常合作 / 关注回款",IF($T78="B","控制新增赊销",IF($T78="C","降低额度 / 缩短账期","停供评估 / 法务关注")))))</x:f>
      </x:c>
      <x:c r="V78" s="13" t="n"/>
      <x:c r="W78" s="12" t="n"/>
    </x:row>
    <x:row r="79">
      <x:c r="A79" s="12" t="n"/>
      <x:c r="B79" s="12" t="n"/>
      <x:c r="C79" s="12" t="n"/>
      <x:c r="D79" s="12" t="n"/>
      <x:c r="E79" s="12" t="n"/>
      <x:c r="F79" s="12" t="n"/>
      <x:c r="G79" s="12" t="n"/>
      <x:c r="H79" s="12" t="n"/>
      <x:c r="I79" s="12" t="n"/>
      <x:c r="J79" s="12" t="n"/>
      <x:c r="K79" s="12" t="n"/>
      <x:c r="L79" s="12" t="n"/>
      <x:c r="M79" s="12" t="n"/>
      <x:c r="N79" s="12" t="n"/>
      <x:c r="O79" s="12" t="n"/>
      <x:c r="P79" s="17">
        <x:f>IF($B79="","",MAX(0,40-$D79*Params!$B$2-$E79*Params!$B$3-IF($F79="是",Params!$B$4,0)-IF($G79="是",Params!$B$5,0)-IF($H79&gt;=1,Params!$B$6,0)-IF($I79&gt;90,Params!$B$8,IF($I79&gt;60,Params!$B$7,0))))</x:f>
      </x:c>
      <x:c r="Q79" s="17">
        <x:f>IF($B79="","",MAX(0,MIN(30,$J79+$K79+$L79)))</x:f>
      </x:c>
      <x:c r="R79" s="17">
        <x:f>IF($B79="","",MAX(0,MIN(30,$M79+$N79+$O79)))</x:f>
      </x:c>
      <x:c r="S79" s="17">
        <x:f>IF($B79="","",$P79+$Q79+$R79)</x:f>
      </x:c>
      <x:c r="T79" s="17">
        <x:f>IF($S79="","",IF($S79&gt;=90,"A+",IF($S79&gt;=80,"A",IF($S79&gt;=70,"B",IF($S79&gt;=60,"C","D")))))</x:f>
      </x:c>
      <x:c r="U79" s="17">
        <x:f>IF($T79="","",IF($T79="A+","正常合作 / 维持额度",IF($T79="A","正常合作 / 关注回款",IF($T79="B","控制新增赊销",IF($T79="C","降低额度 / 缩短账期","停供评估 / 法务关注")))))</x:f>
      </x:c>
      <x:c r="V79" s="13" t="n"/>
      <x:c r="W79" s="12" t="n"/>
    </x:row>
    <x:row r="80">
      <x:c r="A80" s="12" t="n"/>
      <x:c r="B80" s="12" t="n"/>
      <x:c r="C80" s="12" t="n"/>
      <x:c r="D80" s="12" t="n"/>
      <x:c r="E80" s="12" t="n"/>
      <x:c r="F80" s="12" t="n"/>
      <x:c r="G80" s="12" t="n"/>
      <x:c r="H80" s="12" t="n"/>
      <x:c r="I80" s="12" t="n"/>
      <x:c r="J80" s="12" t="n"/>
      <x:c r="K80" s="12" t="n"/>
      <x:c r="L80" s="12" t="n"/>
      <x:c r="M80" s="12" t="n"/>
      <x:c r="N80" s="12" t="n"/>
      <x:c r="O80" s="12" t="n"/>
      <x:c r="P80" s="17">
        <x:f>IF($B80="","",MAX(0,40-$D80*Params!$B$2-$E80*Params!$B$3-IF($F80="是",Params!$B$4,0)-IF($G80="是",Params!$B$5,0)-IF($H80&gt;=1,Params!$B$6,0)-IF($I80&gt;90,Params!$B$8,IF($I80&gt;60,Params!$B$7,0))))</x:f>
      </x:c>
      <x:c r="Q80" s="17">
        <x:f>IF($B80="","",MAX(0,MIN(30,$J80+$K80+$L80)))</x:f>
      </x:c>
      <x:c r="R80" s="17">
        <x:f>IF($B80="","",MAX(0,MIN(30,$M80+$N80+$O80)))</x:f>
      </x:c>
      <x:c r="S80" s="17">
        <x:f>IF($B80="","",$P80+$Q80+$R80)</x:f>
      </x:c>
      <x:c r="T80" s="17">
        <x:f>IF($S80="","",IF($S80&gt;=90,"A+",IF($S80&gt;=80,"A",IF($S80&gt;=70,"B",IF($S80&gt;=60,"C","D")))))</x:f>
      </x:c>
      <x:c r="U80" s="17">
        <x:f>IF($T80="","",IF($T80="A+","正常合作 / 维持额度",IF($T80="A","正常合作 / 关注回款",IF($T80="B","控制新增赊销",IF($T80="C","降低额度 / 缩短账期","停供评估 / 法务关注")))))</x:f>
      </x:c>
      <x:c r="V80" s="13" t="n"/>
      <x:c r="W80" s="12" t="n"/>
    </x:row>
    <x:row r="81">
      <x:c r="A81" s="12" t="n"/>
      <x:c r="B81" s="12" t="n"/>
      <x:c r="C81" s="12" t="n"/>
      <x:c r="D81" s="12" t="n"/>
      <x:c r="E81" s="12" t="n"/>
      <x:c r="F81" s="12" t="n"/>
      <x:c r="G81" s="12" t="n"/>
      <x:c r="H81" s="12" t="n"/>
      <x:c r="I81" s="12" t="n"/>
      <x:c r="J81" s="12" t="n"/>
      <x:c r="K81" s="12" t="n"/>
      <x:c r="L81" s="12" t="n"/>
      <x:c r="M81" s="12" t="n"/>
      <x:c r="N81" s="12" t="n"/>
      <x:c r="O81" s="12" t="n"/>
      <x:c r="P81" s="17">
        <x:f>IF($B81="","",MAX(0,40-$D81*Params!$B$2-$E81*Params!$B$3-IF($F81="是",Params!$B$4,0)-IF($G81="是",Params!$B$5,0)-IF($H81&gt;=1,Params!$B$6,0)-IF($I81&gt;90,Params!$B$8,IF($I81&gt;60,Params!$B$7,0))))</x:f>
      </x:c>
      <x:c r="Q81" s="17">
        <x:f>IF($B81="","",MAX(0,MIN(30,$J81+$K81+$L81)))</x:f>
      </x:c>
      <x:c r="R81" s="17">
        <x:f>IF($B81="","",MAX(0,MIN(30,$M81+$N81+$O81)))</x:f>
      </x:c>
      <x:c r="S81" s="17">
        <x:f>IF($B81="","",$P81+$Q81+$R81)</x:f>
      </x:c>
      <x:c r="T81" s="17">
        <x:f>IF($S81="","",IF($S81&gt;=90,"A+",IF($S81&gt;=80,"A",IF($S81&gt;=70,"B",IF($S81&gt;=60,"C","D")))))</x:f>
      </x:c>
      <x:c r="U81" s="17">
        <x:f>IF($T81="","",IF($T81="A+","正常合作 / 维持额度",IF($T81="A","正常合作 / 关注回款",IF($T81="B","控制新增赊销",IF($T81="C","降低额度 / 缩短账期","停供评估 / 法务关注")))))</x:f>
      </x:c>
      <x:c r="V81" s="13" t="n"/>
      <x:c r="W81" s="12" t="n"/>
    </x:row>
    <x:row r="82">
      <x:c r="A82" s="12" t="n"/>
      <x:c r="B82" s="12" t="n"/>
      <x:c r="C82" s="12" t="n"/>
      <x:c r="D82" s="12" t="n"/>
      <x:c r="E82" s="12" t="n"/>
      <x:c r="F82" s="12" t="n"/>
      <x:c r="G82" s="12" t="n"/>
      <x:c r="H82" s="12" t="n"/>
      <x:c r="I82" s="12" t="n"/>
      <x:c r="J82" s="12" t="n"/>
      <x:c r="K82" s="12" t="n"/>
      <x:c r="L82" s="12" t="n"/>
      <x:c r="M82" s="12" t="n"/>
      <x:c r="N82" s="12" t="n"/>
      <x:c r="O82" s="12" t="n"/>
      <x:c r="P82" s="17">
        <x:f>IF($B82="","",MAX(0,40-$D82*Params!$B$2-$E82*Params!$B$3-IF($F82="是",Params!$B$4,0)-IF($G82="是",Params!$B$5,0)-IF($H82&gt;=1,Params!$B$6,0)-IF($I82&gt;90,Params!$B$8,IF($I82&gt;60,Params!$B$7,0))))</x:f>
      </x:c>
      <x:c r="Q82" s="17">
        <x:f>IF($B82="","",MAX(0,MIN(30,$J82+$K82+$L82)))</x:f>
      </x:c>
      <x:c r="R82" s="17">
        <x:f>IF($B82="","",MAX(0,MIN(30,$M82+$N82+$O82)))</x:f>
      </x:c>
      <x:c r="S82" s="17">
        <x:f>IF($B82="","",$P82+$Q82+$R82)</x:f>
      </x:c>
      <x:c r="T82" s="17">
        <x:f>IF($S82="","",IF($S82&gt;=90,"A+",IF($S82&gt;=80,"A",IF($S82&gt;=70,"B",IF($S82&gt;=60,"C","D")))))</x:f>
      </x:c>
      <x:c r="U82" s="17">
        <x:f>IF($T82="","",IF($T82="A+","正常合作 / 维持额度",IF($T82="A","正常合作 / 关注回款",IF($T82="B","控制新增赊销",IF($T82="C","降低额度 / 缩短账期","停供评估 / 法务关注")))))</x:f>
      </x:c>
      <x:c r="V82" s="13" t="n"/>
      <x:c r="W82" s="12" t="n"/>
    </x:row>
    <x:row r="83">
      <x:c r="A83" s="12" t="n"/>
      <x:c r="B83" s="12" t="n"/>
      <x:c r="C83" s="12" t="n"/>
      <x:c r="D83" s="12" t="n"/>
      <x:c r="E83" s="12" t="n"/>
      <x:c r="F83" s="12" t="n"/>
      <x:c r="G83" s="12" t="n"/>
      <x:c r="H83" s="12" t="n"/>
      <x:c r="I83" s="12" t="n"/>
      <x:c r="J83" s="12" t="n"/>
      <x:c r="K83" s="12" t="n"/>
      <x:c r="L83" s="12" t="n"/>
      <x:c r="M83" s="12" t="n"/>
      <x:c r="N83" s="12" t="n"/>
      <x:c r="O83" s="12" t="n"/>
      <x:c r="P83" s="17">
        <x:f>IF($B83="","",MAX(0,40-$D83*Params!$B$2-$E83*Params!$B$3-IF($F83="是",Params!$B$4,0)-IF($G83="是",Params!$B$5,0)-IF($H83&gt;=1,Params!$B$6,0)-IF($I83&gt;90,Params!$B$8,IF($I83&gt;60,Params!$B$7,0))))</x:f>
      </x:c>
      <x:c r="Q83" s="17">
        <x:f>IF($B83="","",MAX(0,MIN(30,$J83+$K83+$L83)))</x:f>
      </x:c>
      <x:c r="R83" s="17">
        <x:f>IF($B83="","",MAX(0,MIN(30,$M83+$N83+$O83)))</x:f>
      </x:c>
      <x:c r="S83" s="17">
        <x:f>IF($B83="","",$P83+$Q83+$R83)</x:f>
      </x:c>
      <x:c r="T83" s="17">
        <x:f>IF($S83="","",IF($S83&gt;=90,"A+",IF($S83&gt;=80,"A",IF($S83&gt;=70,"B",IF($S83&gt;=60,"C","D")))))</x:f>
      </x:c>
      <x:c r="U83" s="17">
        <x:f>IF($T83="","",IF($T83="A+","正常合作 / 维持额度",IF($T83="A","正常合作 / 关注回款",IF($T83="B","控制新增赊销",IF($T83="C","降低额度 / 缩短账期","停供评估 / 法务关注")))))</x:f>
      </x:c>
      <x:c r="V83" s="13" t="n"/>
      <x:c r="W83" s="12" t="n"/>
    </x:row>
    <x:row r="84">
      <x:c r="A84" s="12" t="n"/>
      <x:c r="B84" s="12" t="n"/>
      <x:c r="C84" s="12" t="n"/>
      <x:c r="D84" s="12" t="n"/>
      <x:c r="E84" s="12" t="n"/>
      <x:c r="F84" s="12" t="n"/>
      <x:c r="G84" s="12" t="n"/>
      <x:c r="H84" s="12" t="n"/>
      <x:c r="I84" s="12" t="n"/>
      <x:c r="J84" s="12" t="n"/>
      <x:c r="K84" s="12" t="n"/>
      <x:c r="L84" s="12" t="n"/>
      <x:c r="M84" s="12" t="n"/>
      <x:c r="N84" s="12" t="n"/>
      <x:c r="O84" s="12" t="n"/>
      <x:c r="P84" s="17">
        <x:f>IF($B84="","",MAX(0,40-$D84*Params!$B$2-$E84*Params!$B$3-IF($F84="是",Params!$B$4,0)-IF($G84="是",Params!$B$5,0)-IF($H84&gt;=1,Params!$B$6,0)-IF($I84&gt;90,Params!$B$8,IF($I84&gt;60,Params!$B$7,0))))</x:f>
      </x:c>
      <x:c r="Q84" s="17">
        <x:f>IF($B84="","",MAX(0,MIN(30,$J84+$K84+$L84)))</x:f>
      </x:c>
      <x:c r="R84" s="17">
        <x:f>IF($B84="","",MAX(0,MIN(30,$M84+$N84+$O84)))</x:f>
      </x:c>
      <x:c r="S84" s="17">
        <x:f>IF($B84="","",$P84+$Q84+$R84)</x:f>
      </x:c>
      <x:c r="T84" s="17">
        <x:f>IF($S84="","",IF($S84&gt;=90,"A+",IF($S84&gt;=80,"A",IF($S84&gt;=70,"B",IF($S84&gt;=60,"C","D")))))</x:f>
      </x:c>
      <x:c r="U84" s="17">
        <x:f>IF($T84="","",IF($T84="A+","正常合作 / 维持额度",IF($T84="A","正常合作 / 关注回款",IF($T84="B","控制新增赊销",IF($T84="C","降低额度 / 缩短账期","停供评估 / 法务关注")))))</x:f>
      </x:c>
      <x:c r="V84" s="13" t="n"/>
      <x:c r="W84" s="12" t="n"/>
    </x:row>
    <x:row r="85">
      <x:c r="A85" s="12" t="n"/>
      <x:c r="B85" s="12" t="n"/>
      <x:c r="C85" s="12" t="n"/>
      <x:c r="D85" s="12" t="n"/>
      <x:c r="E85" s="12" t="n"/>
      <x:c r="F85" s="12" t="n"/>
      <x:c r="G85" s="12" t="n"/>
      <x:c r="H85" s="12" t="n"/>
      <x:c r="I85" s="12" t="n"/>
      <x:c r="J85" s="12" t="n"/>
      <x:c r="K85" s="12" t="n"/>
      <x:c r="L85" s="12" t="n"/>
      <x:c r="M85" s="12" t="n"/>
      <x:c r="N85" s="12" t="n"/>
      <x:c r="O85" s="12" t="n"/>
      <x:c r="P85" s="17">
        <x:f>IF($B85="","",MAX(0,40-$D85*Params!$B$2-$E85*Params!$B$3-IF($F85="是",Params!$B$4,0)-IF($G85="是",Params!$B$5,0)-IF($H85&gt;=1,Params!$B$6,0)-IF($I85&gt;90,Params!$B$8,IF($I85&gt;60,Params!$B$7,0))))</x:f>
      </x:c>
      <x:c r="Q85" s="17">
        <x:f>IF($B85="","",MAX(0,MIN(30,$J85+$K85+$L85)))</x:f>
      </x:c>
      <x:c r="R85" s="17">
        <x:f>IF($B85="","",MAX(0,MIN(30,$M85+$N85+$O85)))</x:f>
      </x:c>
      <x:c r="S85" s="17">
        <x:f>IF($B85="","",$P85+$Q85+$R85)</x:f>
      </x:c>
      <x:c r="T85" s="17">
        <x:f>IF($S85="","",IF($S85&gt;=90,"A+",IF($S85&gt;=80,"A",IF($S85&gt;=70,"B",IF($S85&gt;=60,"C","D")))))</x:f>
      </x:c>
      <x:c r="U85" s="17">
        <x:f>IF($T85="","",IF($T85="A+","正常合作 / 维持额度",IF($T85="A","正常合作 / 关注回款",IF($T85="B","控制新增赊销",IF($T85="C","降低额度 / 缩短账期","停供评估 / 法务关注")))))</x:f>
      </x:c>
      <x:c r="V85" s="13" t="n"/>
      <x:c r="W85" s="12" t="n"/>
    </x:row>
    <x:row r="86">
      <x:c r="A86" s="12" t="n"/>
      <x:c r="B86" s="12" t="n"/>
      <x:c r="C86" s="12" t="n"/>
      <x:c r="D86" s="12" t="n"/>
      <x:c r="E86" s="12" t="n"/>
      <x:c r="F86" s="12" t="n"/>
      <x:c r="G86" s="12" t="n"/>
      <x:c r="H86" s="12" t="n"/>
      <x:c r="I86" s="12" t="n"/>
      <x:c r="J86" s="12" t="n"/>
      <x:c r="K86" s="12" t="n"/>
      <x:c r="L86" s="12" t="n"/>
      <x:c r="M86" s="12" t="n"/>
      <x:c r="N86" s="12" t="n"/>
      <x:c r="O86" s="12" t="n"/>
      <x:c r="P86" s="17">
        <x:f>IF($B86="","",MAX(0,40-$D86*Params!$B$2-$E86*Params!$B$3-IF($F86="是",Params!$B$4,0)-IF($G86="是",Params!$B$5,0)-IF($H86&gt;=1,Params!$B$6,0)-IF($I86&gt;90,Params!$B$8,IF($I86&gt;60,Params!$B$7,0))))</x:f>
      </x:c>
      <x:c r="Q86" s="17">
        <x:f>IF($B86="","",MAX(0,MIN(30,$J86+$K86+$L86)))</x:f>
      </x:c>
      <x:c r="R86" s="17">
        <x:f>IF($B86="","",MAX(0,MIN(30,$M86+$N86+$O86)))</x:f>
      </x:c>
      <x:c r="S86" s="17">
        <x:f>IF($B86="","",$P86+$Q86+$R86)</x:f>
      </x:c>
      <x:c r="T86" s="17">
        <x:f>IF($S86="","",IF($S86&gt;=90,"A+",IF($S86&gt;=80,"A",IF($S86&gt;=70,"B",IF($S86&gt;=60,"C","D")))))</x:f>
      </x:c>
      <x:c r="U86" s="17">
        <x:f>IF($T86="","",IF($T86="A+","正常合作 / 维持额度",IF($T86="A","正常合作 / 关注回款",IF($T86="B","控制新增赊销",IF($T86="C","降低额度 / 缩短账期","停供评估 / 法务关注")))))</x:f>
      </x:c>
      <x:c r="V86" s="13" t="n"/>
      <x:c r="W86" s="12" t="n"/>
    </x:row>
    <x:row r="87">
      <x:c r="A87" s="12" t="n"/>
      <x:c r="B87" s="12" t="n"/>
      <x:c r="C87" s="12" t="n"/>
      <x:c r="D87" s="12" t="n"/>
      <x:c r="E87" s="12" t="n"/>
      <x:c r="F87" s="12" t="n"/>
      <x:c r="G87" s="12" t="n"/>
      <x:c r="H87" s="12" t="n"/>
      <x:c r="I87" s="12" t="n"/>
      <x:c r="J87" s="12" t="n"/>
      <x:c r="K87" s="12" t="n"/>
      <x:c r="L87" s="12" t="n"/>
      <x:c r="M87" s="12" t="n"/>
      <x:c r="N87" s="12" t="n"/>
      <x:c r="O87" s="12" t="n"/>
      <x:c r="P87" s="17">
        <x:f>IF($B87="","",MAX(0,40-$D87*Params!$B$2-$E87*Params!$B$3-IF($F87="是",Params!$B$4,0)-IF($G87="是",Params!$B$5,0)-IF($H87&gt;=1,Params!$B$6,0)-IF($I87&gt;90,Params!$B$8,IF($I87&gt;60,Params!$B$7,0))))</x:f>
      </x:c>
      <x:c r="Q87" s="17">
        <x:f>IF($B87="","",MAX(0,MIN(30,$J87+$K87+$L87)))</x:f>
      </x:c>
      <x:c r="R87" s="17">
        <x:f>IF($B87="","",MAX(0,MIN(30,$M87+$N87+$O87)))</x:f>
      </x:c>
      <x:c r="S87" s="17">
        <x:f>IF($B87="","",$P87+$Q87+$R87)</x:f>
      </x:c>
      <x:c r="T87" s="17">
        <x:f>IF($S87="","",IF($S87&gt;=90,"A+",IF($S87&gt;=80,"A",IF($S87&gt;=70,"B",IF($S87&gt;=60,"C","D")))))</x:f>
      </x:c>
      <x:c r="U87" s="17">
        <x:f>IF($T87="","",IF($T87="A+","正常合作 / 维持额度",IF($T87="A","正常合作 / 关注回款",IF($T87="B","控制新增赊销",IF($T87="C","降低额度 / 缩短账期","停供评估 / 法务关注")))))</x:f>
      </x:c>
      <x:c r="V87" s="13" t="n"/>
      <x:c r="W87" s="12" t="n"/>
    </x:row>
    <x:row r="88">
      <x:c r="A88" s="12" t="n"/>
      <x:c r="B88" s="12" t="n"/>
      <x:c r="C88" s="12" t="n"/>
      <x:c r="D88" s="12" t="n"/>
      <x:c r="E88" s="12" t="n"/>
      <x:c r="F88" s="12" t="n"/>
      <x:c r="G88" s="12" t="n"/>
      <x:c r="H88" s="12" t="n"/>
      <x:c r="I88" s="12" t="n"/>
      <x:c r="J88" s="12" t="n"/>
      <x:c r="K88" s="12" t="n"/>
      <x:c r="L88" s="12" t="n"/>
      <x:c r="M88" s="12" t="n"/>
      <x:c r="N88" s="12" t="n"/>
      <x:c r="O88" s="12" t="n"/>
      <x:c r="P88" s="17">
        <x:f>IF($B88="","",MAX(0,40-$D88*Params!$B$2-$E88*Params!$B$3-IF($F88="是",Params!$B$4,0)-IF($G88="是",Params!$B$5,0)-IF($H88&gt;=1,Params!$B$6,0)-IF($I88&gt;90,Params!$B$8,IF($I88&gt;60,Params!$B$7,0))))</x:f>
      </x:c>
      <x:c r="Q88" s="17">
        <x:f>IF($B88="","",MAX(0,MIN(30,$J88+$K88+$L88)))</x:f>
      </x:c>
      <x:c r="R88" s="17">
        <x:f>IF($B88="","",MAX(0,MIN(30,$M88+$N88+$O88)))</x:f>
      </x:c>
      <x:c r="S88" s="17">
        <x:f>IF($B88="","",$P88+$Q88+$R88)</x:f>
      </x:c>
      <x:c r="T88" s="17">
        <x:f>IF($S88="","",IF($S88&gt;=90,"A+",IF($S88&gt;=80,"A",IF($S88&gt;=70,"B",IF($S88&gt;=60,"C","D")))))</x:f>
      </x:c>
      <x:c r="U88" s="17">
        <x:f>IF($T88="","",IF($T88="A+","正常合作 / 维持额度",IF($T88="A","正常合作 / 关注回款",IF($T88="B","控制新增赊销",IF($T88="C","降低额度 / 缩短账期","停供评估 / 法务关注")))))</x:f>
      </x:c>
      <x:c r="V88" s="13" t="n"/>
      <x:c r="W88" s="12" t="n"/>
    </x:row>
    <x:row r="89">
      <x:c r="A89" s="12" t="n"/>
      <x:c r="B89" s="12" t="n"/>
      <x:c r="C89" s="12" t="n"/>
      <x:c r="D89" s="12" t="n"/>
      <x:c r="E89" s="12" t="n"/>
      <x:c r="F89" s="12" t="n"/>
      <x:c r="G89" s="12" t="n"/>
      <x:c r="H89" s="12" t="n"/>
      <x:c r="I89" s="12" t="n"/>
      <x:c r="J89" s="12" t="n"/>
      <x:c r="K89" s="12" t="n"/>
      <x:c r="L89" s="12" t="n"/>
      <x:c r="M89" s="12" t="n"/>
      <x:c r="N89" s="12" t="n"/>
      <x:c r="O89" s="12" t="n"/>
      <x:c r="P89" s="17">
        <x:f>IF($B89="","",MAX(0,40-$D89*Params!$B$2-$E89*Params!$B$3-IF($F89="是",Params!$B$4,0)-IF($G89="是",Params!$B$5,0)-IF($H89&gt;=1,Params!$B$6,0)-IF($I89&gt;90,Params!$B$8,IF($I89&gt;60,Params!$B$7,0))))</x:f>
      </x:c>
      <x:c r="Q89" s="17">
        <x:f>IF($B89="","",MAX(0,MIN(30,$J89+$K89+$L89)))</x:f>
      </x:c>
      <x:c r="R89" s="17">
        <x:f>IF($B89="","",MAX(0,MIN(30,$M89+$N89+$O89)))</x:f>
      </x:c>
      <x:c r="S89" s="17">
        <x:f>IF($B89="","",$P89+$Q89+$R89)</x:f>
      </x:c>
      <x:c r="T89" s="17">
        <x:f>IF($S89="","",IF($S89&gt;=90,"A+",IF($S89&gt;=80,"A",IF($S89&gt;=70,"B",IF($S89&gt;=60,"C","D")))))</x:f>
      </x:c>
      <x:c r="U89" s="17">
        <x:f>IF($T89="","",IF($T89="A+","正常合作 / 维持额度",IF($T89="A","正常合作 / 关注回款",IF($T89="B","控制新增赊销",IF($T89="C","降低额度 / 缩短账期","停供评估 / 法务关注")))))</x:f>
      </x:c>
      <x:c r="V89" s="13" t="n"/>
      <x:c r="W89" s="12" t="n"/>
    </x:row>
    <x:row r="90">
      <x:c r="A90" s="12" t="n"/>
      <x:c r="B90" s="12" t="n"/>
      <x:c r="C90" s="12" t="n"/>
      <x:c r="D90" s="12" t="n"/>
      <x:c r="E90" s="12" t="n"/>
      <x:c r="F90" s="12" t="n"/>
      <x:c r="G90" s="12" t="n"/>
      <x:c r="H90" s="12" t="n"/>
      <x:c r="I90" s="12" t="n"/>
      <x:c r="J90" s="12" t="n"/>
      <x:c r="K90" s="12" t="n"/>
      <x:c r="L90" s="12" t="n"/>
      <x:c r="M90" s="12" t="n"/>
      <x:c r="N90" s="12" t="n"/>
      <x:c r="O90" s="12" t="n"/>
      <x:c r="P90" s="17">
        <x:f>IF($B90="","",MAX(0,40-$D90*Params!$B$2-$E90*Params!$B$3-IF($F90="是",Params!$B$4,0)-IF($G90="是",Params!$B$5,0)-IF($H90&gt;=1,Params!$B$6,0)-IF($I90&gt;90,Params!$B$8,IF($I90&gt;60,Params!$B$7,0))))</x:f>
      </x:c>
      <x:c r="Q90" s="17">
        <x:f>IF($B90="","",MAX(0,MIN(30,$J90+$K90+$L90)))</x:f>
      </x:c>
      <x:c r="R90" s="17">
        <x:f>IF($B90="","",MAX(0,MIN(30,$M90+$N90+$O90)))</x:f>
      </x:c>
      <x:c r="S90" s="17">
        <x:f>IF($B90="","",$P90+$Q90+$R90)</x:f>
      </x:c>
      <x:c r="T90" s="17">
        <x:f>IF($S90="","",IF($S90&gt;=90,"A+",IF($S90&gt;=80,"A",IF($S90&gt;=70,"B",IF($S90&gt;=60,"C","D")))))</x:f>
      </x:c>
      <x:c r="U90" s="17">
        <x:f>IF($T90="","",IF($T90="A+","正常合作 / 维持额度",IF($T90="A","正常合作 / 关注回款",IF($T90="B","控制新增赊销",IF($T90="C","降低额度 / 缩短账期","停供评估 / 法务关注")))))</x:f>
      </x:c>
      <x:c r="V90" s="13" t="n"/>
      <x:c r="W90" s="12" t="n"/>
    </x:row>
    <x:row r="91">
      <x:c r="A91" s="12" t="n"/>
      <x:c r="B91" s="12" t="n"/>
      <x:c r="C91" s="12" t="n"/>
      <x:c r="D91" s="12" t="n"/>
      <x:c r="E91" s="12" t="n"/>
      <x:c r="F91" s="12" t="n"/>
      <x:c r="G91" s="12" t="n"/>
      <x:c r="H91" s="12" t="n"/>
      <x:c r="I91" s="12" t="n"/>
      <x:c r="J91" s="12" t="n"/>
      <x:c r="K91" s="12" t="n"/>
      <x:c r="L91" s="12" t="n"/>
      <x:c r="M91" s="12" t="n"/>
      <x:c r="N91" s="12" t="n"/>
      <x:c r="O91" s="12" t="n"/>
      <x:c r="P91" s="17">
        <x:f>IF($B91="","",MAX(0,40-$D91*Params!$B$2-$E91*Params!$B$3-IF($F91="是",Params!$B$4,0)-IF($G91="是",Params!$B$5,0)-IF($H91&gt;=1,Params!$B$6,0)-IF($I91&gt;90,Params!$B$8,IF($I91&gt;60,Params!$B$7,0))))</x:f>
      </x:c>
      <x:c r="Q91" s="17">
        <x:f>IF($B91="","",MAX(0,MIN(30,$J91+$K91+$L91)))</x:f>
      </x:c>
      <x:c r="R91" s="17">
        <x:f>IF($B91="","",MAX(0,MIN(30,$M91+$N91+$O91)))</x:f>
      </x:c>
      <x:c r="S91" s="17">
        <x:f>IF($B91="","",$P91+$Q91+$R91)</x:f>
      </x:c>
      <x:c r="T91" s="17">
        <x:f>IF($S91="","",IF($S91&gt;=90,"A+",IF($S91&gt;=80,"A",IF($S91&gt;=70,"B",IF($S91&gt;=60,"C","D")))))</x:f>
      </x:c>
      <x:c r="U91" s="17">
        <x:f>IF($T91="","",IF($T91="A+","正常合作 / 维持额度",IF($T91="A","正常合作 / 关注回款",IF($T91="B","控制新增赊销",IF($T91="C","降低额度 / 缩短账期","停供评估 / 法务关注")))))</x:f>
      </x:c>
      <x:c r="V91" s="13" t="n"/>
      <x:c r="W91" s="12" t="n"/>
    </x:row>
    <x:row r="92">
      <x:c r="A92" s="12" t="n"/>
      <x:c r="B92" s="12" t="n"/>
      <x:c r="C92" s="12" t="n"/>
      <x:c r="D92" s="12" t="n"/>
      <x:c r="E92" s="12" t="n"/>
      <x:c r="F92" s="12" t="n"/>
      <x:c r="G92" s="12" t="n"/>
      <x:c r="H92" s="12" t="n"/>
      <x:c r="I92" s="12" t="n"/>
      <x:c r="J92" s="12" t="n"/>
      <x:c r="K92" s="12" t="n"/>
      <x:c r="L92" s="12" t="n"/>
      <x:c r="M92" s="12" t="n"/>
      <x:c r="N92" s="12" t="n"/>
      <x:c r="O92" s="12" t="n"/>
      <x:c r="P92" s="17">
        <x:f>IF($B92="","",MAX(0,40-$D92*Params!$B$2-$E92*Params!$B$3-IF($F92="是",Params!$B$4,0)-IF($G92="是",Params!$B$5,0)-IF($H92&gt;=1,Params!$B$6,0)-IF($I92&gt;90,Params!$B$8,IF($I92&gt;60,Params!$B$7,0))))</x:f>
      </x:c>
      <x:c r="Q92" s="17">
        <x:f>IF($B92="","",MAX(0,MIN(30,$J92+$K92+$L92)))</x:f>
      </x:c>
      <x:c r="R92" s="17">
        <x:f>IF($B92="","",MAX(0,MIN(30,$M92+$N92+$O92)))</x:f>
      </x:c>
      <x:c r="S92" s="17">
        <x:f>IF($B92="","",$P92+$Q92+$R92)</x:f>
      </x:c>
      <x:c r="T92" s="17">
        <x:f>IF($S92="","",IF($S92&gt;=90,"A+",IF($S92&gt;=80,"A",IF($S92&gt;=70,"B",IF($S92&gt;=60,"C","D")))))</x:f>
      </x:c>
      <x:c r="U92" s="17">
        <x:f>IF($T92="","",IF($T92="A+","正常合作 / 维持额度",IF($T92="A","正常合作 / 关注回款",IF($T92="B","控制新增赊销",IF($T92="C","降低额度 / 缩短账期","停供评估 / 法务关注")))))</x:f>
      </x:c>
      <x:c r="V92" s="13" t="n"/>
      <x:c r="W92" s="12" t="n"/>
    </x:row>
    <x:row r="93">
      <x:c r="A93" s="12" t="n"/>
      <x:c r="B93" s="12" t="n"/>
      <x:c r="C93" s="12" t="n"/>
      <x:c r="D93" s="12" t="n"/>
      <x:c r="E93" s="12" t="n"/>
      <x:c r="F93" s="12" t="n"/>
      <x:c r="G93" s="12" t="n"/>
      <x:c r="H93" s="12" t="n"/>
      <x:c r="I93" s="12" t="n"/>
      <x:c r="J93" s="12" t="n"/>
      <x:c r="K93" s="12" t="n"/>
      <x:c r="L93" s="12" t="n"/>
      <x:c r="M93" s="12" t="n"/>
      <x:c r="N93" s="12" t="n"/>
      <x:c r="O93" s="12" t="n"/>
      <x:c r="P93" s="17">
        <x:f>IF($B93="","",MAX(0,40-$D93*Params!$B$2-$E93*Params!$B$3-IF($F93="是",Params!$B$4,0)-IF($G93="是",Params!$B$5,0)-IF($H93&gt;=1,Params!$B$6,0)-IF($I93&gt;90,Params!$B$8,IF($I93&gt;60,Params!$B$7,0))))</x:f>
      </x:c>
      <x:c r="Q93" s="17">
        <x:f>IF($B93="","",MAX(0,MIN(30,$J93+$K93+$L93)))</x:f>
      </x:c>
      <x:c r="R93" s="17">
        <x:f>IF($B93="","",MAX(0,MIN(30,$M93+$N93+$O93)))</x:f>
      </x:c>
      <x:c r="S93" s="17">
        <x:f>IF($B93="","",$P93+$Q93+$R93)</x:f>
      </x:c>
      <x:c r="T93" s="17">
        <x:f>IF($S93="","",IF($S93&gt;=90,"A+",IF($S93&gt;=80,"A",IF($S93&gt;=70,"B",IF($S93&gt;=60,"C","D")))))</x:f>
      </x:c>
      <x:c r="U93" s="17">
        <x:f>IF($T93="","",IF($T93="A+","正常合作 / 维持额度",IF($T93="A","正常合作 / 关注回款",IF($T93="B","控制新增赊销",IF($T93="C","降低额度 / 缩短账期","停供评估 / 法务关注")))))</x:f>
      </x:c>
      <x:c r="V93" s="13" t="n"/>
      <x:c r="W93" s="12" t="n"/>
    </x:row>
    <x:row r="94">
      <x:c r="A94" s="12" t="n"/>
      <x:c r="B94" s="12" t="n"/>
      <x:c r="C94" s="12" t="n"/>
      <x:c r="D94" s="12" t="n"/>
      <x:c r="E94" s="12" t="n"/>
      <x:c r="F94" s="12" t="n"/>
      <x:c r="G94" s="12" t="n"/>
      <x:c r="H94" s="12" t="n"/>
      <x:c r="I94" s="12" t="n"/>
      <x:c r="J94" s="12" t="n"/>
      <x:c r="K94" s="12" t="n"/>
      <x:c r="L94" s="12" t="n"/>
      <x:c r="M94" s="12" t="n"/>
      <x:c r="N94" s="12" t="n"/>
      <x:c r="O94" s="12" t="n"/>
      <x:c r="P94" s="17">
        <x:f>IF($B94="","",MAX(0,40-$D94*Params!$B$2-$E94*Params!$B$3-IF($F94="是",Params!$B$4,0)-IF($G94="是",Params!$B$5,0)-IF($H94&gt;=1,Params!$B$6,0)-IF($I94&gt;90,Params!$B$8,IF($I94&gt;60,Params!$B$7,0))))</x:f>
      </x:c>
      <x:c r="Q94" s="17">
        <x:f>IF($B94="","",MAX(0,MIN(30,$J94+$K94+$L94)))</x:f>
      </x:c>
      <x:c r="R94" s="17">
        <x:f>IF($B94="","",MAX(0,MIN(30,$M94+$N94+$O94)))</x:f>
      </x:c>
      <x:c r="S94" s="17">
        <x:f>IF($B94="","",$P94+$Q94+$R94)</x:f>
      </x:c>
      <x:c r="T94" s="17">
        <x:f>IF($S94="","",IF($S94&gt;=90,"A+",IF($S94&gt;=80,"A",IF($S94&gt;=70,"B",IF($S94&gt;=60,"C","D")))))</x:f>
      </x:c>
      <x:c r="U94" s="17">
        <x:f>IF($T94="","",IF($T94="A+","正常合作 / 维持额度",IF($T94="A","正常合作 / 关注回款",IF($T94="B","控制新增赊销",IF($T94="C","降低额度 / 缩短账期","停供评估 / 法务关注")))))</x:f>
      </x:c>
      <x:c r="V94" s="13" t="n"/>
      <x:c r="W94" s="12" t="n"/>
    </x:row>
    <x:row r="95">
      <x:c r="A95" s="12" t="n"/>
      <x:c r="B95" s="12" t="n"/>
      <x:c r="C95" s="12" t="n"/>
      <x:c r="D95" s="12" t="n"/>
      <x:c r="E95" s="12" t="n"/>
      <x:c r="F95" s="12" t="n"/>
      <x:c r="G95" s="12" t="n"/>
      <x:c r="H95" s="12" t="n"/>
      <x:c r="I95" s="12" t="n"/>
      <x:c r="J95" s="12" t="n"/>
      <x:c r="K95" s="12" t="n"/>
      <x:c r="L95" s="12" t="n"/>
      <x:c r="M95" s="12" t="n"/>
      <x:c r="N95" s="12" t="n"/>
      <x:c r="O95" s="12" t="n"/>
      <x:c r="P95" s="17">
        <x:f>IF($B95="","",MAX(0,40-$D95*Params!$B$2-$E95*Params!$B$3-IF($F95="是",Params!$B$4,0)-IF($G95="是",Params!$B$5,0)-IF($H95&gt;=1,Params!$B$6,0)-IF($I95&gt;90,Params!$B$8,IF($I95&gt;60,Params!$B$7,0))))</x:f>
      </x:c>
      <x:c r="Q95" s="17">
        <x:f>IF($B95="","",MAX(0,MIN(30,$J95+$K95+$L95)))</x:f>
      </x:c>
      <x:c r="R95" s="17">
        <x:f>IF($B95="","",MAX(0,MIN(30,$M95+$N95+$O95)))</x:f>
      </x:c>
      <x:c r="S95" s="17">
        <x:f>IF($B95="","",$P95+$Q95+$R95)</x:f>
      </x:c>
      <x:c r="T95" s="17">
        <x:f>IF($S95="","",IF($S95&gt;=90,"A+",IF($S95&gt;=80,"A",IF($S95&gt;=70,"B",IF($S95&gt;=60,"C","D")))))</x:f>
      </x:c>
      <x:c r="U95" s="17">
        <x:f>IF($T95="","",IF($T95="A+","正常合作 / 维持额度",IF($T95="A","正常合作 / 关注回款",IF($T95="B","控制新增赊销",IF($T95="C","降低额度 / 缩短账期","停供评估 / 法务关注")))))</x:f>
      </x:c>
      <x:c r="V95" s="13" t="n"/>
      <x:c r="W95" s="12" t="n"/>
    </x:row>
    <x:row r="96">
      <x:c r="A96" s="12" t="n"/>
      <x:c r="B96" s="12" t="n"/>
      <x:c r="C96" s="12" t="n"/>
      <x:c r="D96" s="12" t="n"/>
      <x:c r="E96" s="12" t="n"/>
      <x:c r="F96" s="12" t="n"/>
      <x:c r="G96" s="12" t="n"/>
      <x:c r="H96" s="12" t="n"/>
      <x:c r="I96" s="12" t="n"/>
      <x:c r="J96" s="12" t="n"/>
      <x:c r="K96" s="12" t="n"/>
      <x:c r="L96" s="12" t="n"/>
      <x:c r="M96" s="12" t="n"/>
      <x:c r="N96" s="12" t="n"/>
      <x:c r="O96" s="12" t="n"/>
      <x:c r="P96" s="17">
        <x:f>IF($B96="","",MAX(0,40-$D96*Params!$B$2-$E96*Params!$B$3-IF($F96="是",Params!$B$4,0)-IF($G96="是",Params!$B$5,0)-IF($H96&gt;=1,Params!$B$6,0)-IF($I96&gt;90,Params!$B$8,IF($I96&gt;60,Params!$B$7,0))))</x:f>
      </x:c>
      <x:c r="Q96" s="17">
        <x:f>IF($B96="","",MAX(0,MIN(30,$J96+$K96+$L96)))</x:f>
      </x:c>
      <x:c r="R96" s="17">
        <x:f>IF($B96="","",MAX(0,MIN(30,$M96+$N96+$O96)))</x:f>
      </x:c>
      <x:c r="S96" s="17">
        <x:f>IF($B96="","",$P96+$Q96+$R96)</x:f>
      </x:c>
      <x:c r="T96" s="17">
        <x:f>IF($S96="","",IF($S96&gt;=90,"A+",IF($S96&gt;=80,"A",IF($S96&gt;=70,"B",IF($S96&gt;=60,"C","D")))))</x:f>
      </x:c>
      <x:c r="U96" s="17">
        <x:f>IF($T96="","",IF($T96="A+","正常合作 / 维持额度",IF($T96="A","正常合作 / 关注回款",IF($T96="B","控制新增赊销",IF($T96="C","降低额度 / 缩短账期","停供评估 / 法务关注")))))</x:f>
      </x:c>
      <x:c r="V96" s="13" t="n"/>
      <x:c r="W96" s="12" t="n"/>
    </x:row>
    <x:row r="97">
      <x:c r="A97" s="12" t="n"/>
      <x:c r="B97" s="12" t="n"/>
      <x:c r="C97" s="12" t="n"/>
      <x:c r="D97" s="12" t="n"/>
      <x:c r="E97" s="12" t="n"/>
      <x:c r="F97" s="12" t="n"/>
      <x:c r="G97" s="12" t="n"/>
      <x:c r="H97" s="12" t="n"/>
      <x:c r="I97" s="12" t="n"/>
      <x:c r="J97" s="12" t="n"/>
      <x:c r="K97" s="12" t="n"/>
      <x:c r="L97" s="12" t="n"/>
      <x:c r="M97" s="12" t="n"/>
      <x:c r="N97" s="12" t="n"/>
      <x:c r="O97" s="12" t="n"/>
      <x:c r="P97" s="17">
        <x:f>IF($B97="","",MAX(0,40-$D97*Params!$B$2-$E97*Params!$B$3-IF($F97="是",Params!$B$4,0)-IF($G97="是",Params!$B$5,0)-IF($H97&gt;=1,Params!$B$6,0)-IF($I97&gt;90,Params!$B$8,IF($I97&gt;60,Params!$B$7,0))))</x:f>
      </x:c>
      <x:c r="Q97" s="17">
        <x:f>IF($B97="","",MAX(0,MIN(30,$J97+$K97+$L97)))</x:f>
      </x:c>
      <x:c r="R97" s="17">
        <x:f>IF($B97="","",MAX(0,MIN(30,$M97+$N97+$O97)))</x:f>
      </x:c>
      <x:c r="S97" s="17">
        <x:f>IF($B97="","",$P97+$Q97+$R97)</x:f>
      </x:c>
      <x:c r="T97" s="17">
        <x:f>IF($S97="","",IF($S97&gt;=90,"A+",IF($S97&gt;=80,"A",IF($S97&gt;=70,"B",IF($S97&gt;=60,"C","D")))))</x:f>
      </x:c>
      <x:c r="U97" s="17">
        <x:f>IF($T97="","",IF($T97="A+","正常合作 / 维持额度",IF($T97="A","正常合作 / 关注回款",IF($T97="B","控制新增赊销",IF($T97="C","降低额度 / 缩短账期","停供评估 / 法务关注")))))</x:f>
      </x:c>
      <x:c r="V97" s="13" t="n"/>
      <x:c r="W97" s="12" t="n"/>
    </x:row>
    <x:row r="98">
      <x:c r="A98" s="12" t="n"/>
      <x:c r="B98" s="12" t="n"/>
      <x:c r="C98" s="12" t="n"/>
      <x:c r="D98" s="12" t="n"/>
      <x:c r="E98" s="12" t="n"/>
      <x:c r="F98" s="12" t="n"/>
      <x:c r="G98" s="12" t="n"/>
      <x:c r="H98" s="12" t="n"/>
      <x:c r="I98" s="12" t="n"/>
      <x:c r="J98" s="12" t="n"/>
      <x:c r="K98" s="12" t="n"/>
      <x:c r="L98" s="12" t="n"/>
      <x:c r="M98" s="12" t="n"/>
      <x:c r="N98" s="12" t="n"/>
      <x:c r="O98" s="12" t="n"/>
      <x:c r="P98" s="17">
        <x:f>IF($B98="","",MAX(0,40-$D98*Params!$B$2-$E98*Params!$B$3-IF($F98="是",Params!$B$4,0)-IF($G98="是",Params!$B$5,0)-IF($H98&gt;=1,Params!$B$6,0)-IF($I98&gt;90,Params!$B$8,IF($I98&gt;60,Params!$B$7,0))))</x:f>
      </x:c>
      <x:c r="Q98" s="17">
        <x:f>IF($B98="","",MAX(0,MIN(30,$J98+$K98+$L98)))</x:f>
      </x:c>
      <x:c r="R98" s="17">
        <x:f>IF($B98="","",MAX(0,MIN(30,$M98+$N98+$O98)))</x:f>
      </x:c>
      <x:c r="S98" s="17">
        <x:f>IF($B98="","",$P98+$Q98+$R98)</x:f>
      </x:c>
      <x:c r="T98" s="17">
        <x:f>IF($S98="","",IF($S98&gt;=90,"A+",IF($S98&gt;=80,"A",IF($S98&gt;=70,"B",IF($S98&gt;=60,"C","D")))))</x:f>
      </x:c>
      <x:c r="U98" s="17">
        <x:f>IF($T98="","",IF($T98="A+","正常合作 / 维持额度",IF($T98="A","正常合作 / 关注回款",IF($T98="B","控制新增赊销",IF($T98="C","降低额度 / 缩短账期","停供评估 / 法务关注")))))</x:f>
      </x:c>
      <x:c r="V98" s="13" t="n"/>
      <x:c r="W98" s="12" t="n"/>
    </x:row>
    <x:row r="99">
      <x:c r="A99" s="12" t="n"/>
      <x:c r="B99" s="12" t="n"/>
      <x:c r="C99" s="12" t="n"/>
      <x:c r="D99" s="12" t="n"/>
      <x:c r="E99" s="12" t="n"/>
      <x:c r="F99" s="12" t="n"/>
      <x:c r="G99" s="12" t="n"/>
      <x:c r="H99" s="12" t="n"/>
      <x:c r="I99" s="12" t="n"/>
      <x:c r="J99" s="12" t="n"/>
      <x:c r="K99" s="12" t="n"/>
      <x:c r="L99" s="12" t="n"/>
      <x:c r="M99" s="12" t="n"/>
      <x:c r="N99" s="12" t="n"/>
      <x:c r="O99" s="12" t="n"/>
      <x:c r="P99" s="17">
        <x:f>IF($B99="","",MAX(0,40-$D99*Params!$B$2-$E99*Params!$B$3-IF($F99="是",Params!$B$4,0)-IF($G99="是",Params!$B$5,0)-IF($H99&gt;=1,Params!$B$6,0)-IF($I99&gt;90,Params!$B$8,IF($I99&gt;60,Params!$B$7,0))))</x:f>
      </x:c>
      <x:c r="Q99" s="17">
        <x:f>IF($B99="","",MAX(0,MIN(30,$J99+$K99+$L99)))</x:f>
      </x:c>
      <x:c r="R99" s="17">
        <x:f>IF($B99="","",MAX(0,MIN(30,$M99+$N99+$O99)))</x:f>
      </x:c>
      <x:c r="S99" s="17">
        <x:f>IF($B99="","",$P99+$Q99+$R99)</x:f>
      </x:c>
      <x:c r="T99" s="17">
        <x:f>IF($S99="","",IF($S99&gt;=90,"A+",IF($S99&gt;=80,"A",IF($S99&gt;=70,"B",IF($S99&gt;=60,"C","D")))))</x:f>
      </x:c>
      <x:c r="U99" s="17">
        <x:f>IF($T99="","",IF($T99="A+","正常合作 / 维持额度",IF($T99="A","正常合作 / 关注回款",IF($T99="B","控制新增赊销",IF($T99="C","降低额度 / 缩短账期","停供评估 / 法务关注")))))</x:f>
      </x:c>
      <x:c r="V99" s="13" t="n"/>
      <x:c r="W99" s="12" t="n"/>
    </x:row>
    <x:row r="100">
      <x:c r="A100" s="12" t="n"/>
      <x:c r="B100" s="12" t="n"/>
      <x:c r="C100" s="12" t="n"/>
      <x:c r="D100" s="12" t="n"/>
      <x:c r="E100" s="12" t="n"/>
      <x:c r="F100" s="12" t="n"/>
      <x:c r="G100" s="12" t="n"/>
      <x:c r="H100" s="12" t="n"/>
      <x:c r="I100" s="12" t="n"/>
      <x:c r="J100" s="12" t="n"/>
      <x:c r="K100" s="12" t="n"/>
      <x:c r="L100" s="12" t="n"/>
      <x:c r="M100" s="12" t="n"/>
      <x:c r="N100" s="12" t="n"/>
      <x:c r="O100" s="12" t="n"/>
      <x:c r="P100" s="17">
        <x:f>IF($B100="","",MAX(0,40-$D100*Params!$B$2-$E100*Params!$B$3-IF($F100="是",Params!$B$4,0)-IF($G100="是",Params!$B$5,0)-IF($H100&gt;=1,Params!$B$6,0)-IF($I100&gt;90,Params!$B$8,IF($I100&gt;60,Params!$B$7,0))))</x:f>
      </x:c>
      <x:c r="Q100" s="17">
        <x:f>IF($B100="","",MAX(0,MIN(30,$J100+$K100+$L100)))</x:f>
      </x:c>
      <x:c r="R100" s="17">
        <x:f>IF($B100="","",MAX(0,MIN(30,$M100+$N100+$O100)))</x:f>
      </x:c>
      <x:c r="S100" s="17">
        <x:f>IF($B100="","",$P100+$Q100+$R100)</x:f>
      </x:c>
      <x:c r="T100" s="17">
        <x:f>IF($S100="","",IF($S100&gt;=90,"A+",IF($S100&gt;=80,"A",IF($S100&gt;=70,"B",IF($S100&gt;=60,"C","D")))))</x:f>
      </x:c>
      <x:c r="U100" s="17">
        <x:f>IF($T100="","",IF($T100="A+","正常合作 / 维持额度",IF($T100="A","正常合作 / 关注回款",IF($T100="B","控制新增赊销",IF($T100="C","降低额度 / 缩短账期","停供评估 / 法务关注")))))</x:f>
      </x:c>
      <x:c r="V100" s="13" t="n"/>
      <x:c r="W100" s="12" t="n"/>
    </x:row>
    <x:row r="101">
      <x:c r="A101" s="12" t="n"/>
      <x:c r="B101" s="12" t="n"/>
      <x:c r="C101" s="12" t="n"/>
      <x:c r="D101" s="12" t="n"/>
      <x:c r="E101" s="12" t="n"/>
      <x:c r="F101" s="12" t="n"/>
      <x:c r="G101" s="12" t="n"/>
      <x:c r="H101" s="12" t="n"/>
      <x:c r="I101" s="12" t="n"/>
      <x:c r="J101" s="12" t="n"/>
      <x:c r="K101" s="12" t="n"/>
      <x:c r="L101" s="12" t="n"/>
      <x:c r="M101" s="12" t="n"/>
      <x:c r="N101" s="12" t="n"/>
      <x:c r="O101" s="12" t="n"/>
      <x:c r="P101" s="17">
        <x:f>IF($B101="","",MAX(0,40-$D101*Params!$B$2-$E101*Params!$B$3-IF($F101="是",Params!$B$4,0)-IF($G101="是",Params!$B$5,0)-IF($H101&gt;=1,Params!$B$6,0)-IF($I101&gt;90,Params!$B$8,IF($I101&gt;60,Params!$B$7,0))))</x:f>
      </x:c>
      <x:c r="Q101" s="17">
        <x:f>IF($B101="","",MAX(0,MIN(30,$J101+$K101+$L101)))</x:f>
      </x:c>
      <x:c r="R101" s="17">
        <x:f>IF($B101="","",MAX(0,MIN(30,$M101+$N101+$O101)))</x:f>
      </x:c>
      <x:c r="S101" s="17">
        <x:f>IF($B101="","",$P101+$Q101+$R101)</x:f>
      </x:c>
      <x:c r="T101" s="17">
        <x:f>IF($S101="","",IF($S101&gt;=90,"A+",IF($S101&gt;=80,"A",IF($S101&gt;=70,"B",IF($S101&gt;=60,"C","D")))))</x:f>
      </x:c>
      <x:c r="U101" s="17">
        <x:f>IF($T101="","",IF($T101="A+","正常合作 / 维持额度",IF($T101="A","正常合作 / 关注回款",IF($T101="B","控制新增赊销",IF($T101="C","降低额度 / 缩短账期","停供评估 / 法务关注")))))</x:f>
      </x:c>
      <x:c r="V101" s="13" t="n"/>
      <x:c r="W101" s="12" t="n"/>
    </x:row>
    <x:row r="102">
      <x:c r="A102" s="12" t="n"/>
      <x:c r="B102" s="12" t="n"/>
      <x:c r="C102" s="12" t="n"/>
      <x:c r="D102" s="12" t="n"/>
      <x:c r="E102" s="12" t="n"/>
      <x:c r="F102" s="12" t="n"/>
      <x:c r="G102" s="12" t="n"/>
      <x:c r="H102" s="12" t="n"/>
      <x:c r="I102" s="12" t="n"/>
      <x:c r="J102" s="12" t="n"/>
      <x:c r="K102" s="12" t="n"/>
      <x:c r="L102" s="12" t="n"/>
      <x:c r="M102" s="12" t="n"/>
      <x:c r="N102" s="12" t="n"/>
      <x:c r="O102" s="12" t="n"/>
      <x:c r="P102" s="17">
        <x:f>IF($B102="","",MAX(0,40-$D102*Params!$B$2-$E102*Params!$B$3-IF($F102="是",Params!$B$4,0)-IF($G102="是",Params!$B$5,0)-IF($H102&gt;=1,Params!$B$6,0)-IF($I102&gt;90,Params!$B$8,IF($I102&gt;60,Params!$B$7,0))))</x:f>
      </x:c>
      <x:c r="Q102" s="17">
        <x:f>IF($B102="","",MAX(0,MIN(30,$J102+$K102+$L102)))</x:f>
      </x:c>
      <x:c r="R102" s="17">
        <x:f>IF($B102="","",MAX(0,MIN(30,$M102+$N102+$O102)))</x:f>
      </x:c>
      <x:c r="S102" s="17">
        <x:f>IF($B102="","",$P102+$Q102+$R102)</x:f>
      </x:c>
      <x:c r="T102" s="17">
        <x:f>IF($S102="","",IF($S102&gt;=90,"A+",IF($S102&gt;=80,"A",IF($S102&gt;=70,"B",IF($S102&gt;=60,"C","D")))))</x:f>
      </x:c>
      <x:c r="U102" s="17">
        <x:f>IF($T102="","",IF($T102="A+","正常合作 / 维持额度",IF($T102="A","正常合作 / 关注回款",IF($T102="B","控制新增赊销",IF($T102="C","降低额度 / 缩短账期","停供评估 / 法务关注")))))</x:f>
      </x:c>
      <x:c r="V102" s="13" t="n"/>
      <x:c r="W102" s="12" t="n"/>
    </x:row>
    <x:row r="103">
      <x:c r="A103" s="12" t="n"/>
      <x:c r="B103" s="12" t="n"/>
      <x:c r="C103" s="12" t="n"/>
      <x:c r="D103" s="12" t="n"/>
      <x:c r="E103" s="12" t="n"/>
      <x:c r="F103" s="12" t="n"/>
      <x:c r="G103" s="12" t="n"/>
      <x:c r="H103" s="12" t="n"/>
      <x:c r="I103" s="12" t="n"/>
      <x:c r="J103" s="12" t="n"/>
      <x:c r="K103" s="12" t="n"/>
      <x:c r="L103" s="12" t="n"/>
      <x:c r="M103" s="12" t="n"/>
      <x:c r="N103" s="12" t="n"/>
      <x:c r="O103" s="12" t="n"/>
      <x:c r="P103" s="17">
        <x:f>IF($B103="","",MAX(0,40-$D103*Params!$B$2-$E103*Params!$B$3-IF($F103="是",Params!$B$4,0)-IF($G103="是",Params!$B$5,0)-IF($H103&gt;=1,Params!$B$6,0)-IF($I103&gt;90,Params!$B$8,IF($I103&gt;60,Params!$B$7,0))))</x:f>
      </x:c>
      <x:c r="Q103" s="17">
        <x:f>IF($B103="","",MAX(0,MIN(30,$J103+$K103+$L103)))</x:f>
      </x:c>
      <x:c r="R103" s="17">
        <x:f>IF($B103="","",MAX(0,MIN(30,$M103+$N103+$O103)))</x:f>
      </x:c>
      <x:c r="S103" s="17">
        <x:f>IF($B103="","",$P103+$Q103+$R103)</x:f>
      </x:c>
      <x:c r="T103" s="17">
        <x:f>IF($S103="","",IF($S103&gt;=90,"A+",IF($S103&gt;=80,"A",IF($S103&gt;=70,"B",IF($S103&gt;=60,"C","D")))))</x:f>
      </x:c>
      <x:c r="U103" s="17">
        <x:f>IF($T103="","",IF($T103="A+","正常合作 / 维持额度",IF($T103="A","正常合作 / 关注回款",IF($T103="B","控制新增赊销",IF($T103="C","降低额度 / 缩短账期","停供评估 / 法务关注")))))</x:f>
      </x:c>
      <x:c r="V103" s="13" t="n"/>
      <x:c r="W103" s="12" t="n"/>
    </x:row>
    <x:row r="104">
      <x:c r="A104" s="12" t="n"/>
      <x:c r="B104" s="12" t="n"/>
      <x:c r="C104" s="12" t="n"/>
      <x:c r="D104" s="12" t="n"/>
      <x:c r="E104" s="12" t="n"/>
      <x:c r="F104" s="12" t="n"/>
      <x:c r="G104" s="12" t="n"/>
      <x:c r="H104" s="12" t="n"/>
      <x:c r="I104" s="12" t="n"/>
      <x:c r="J104" s="12" t="n"/>
      <x:c r="K104" s="12" t="n"/>
      <x:c r="L104" s="12" t="n"/>
      <x:c r="M104" s="12" t="n"/>
      <x:c r="N104" s="12" t="n"/>
      <x:c r="O104" s="12" t="n"/>
      <x:c r="P104" s="17">
        <x:f>IF($B104="","",MAX(0,40-$D104*Params!$B$2-$E104*Params!$B$3-IF($F104="是",Params!$B$4,0)-IF($G104="是",Params!$B$5,0)-IF($H104&gt;=1,Params!$B$6,0)-IF($I104&gt;90,Params!$B$8,IF($I104&gt;60,Params!$B$7,0))))</x:f>
      </x:c>
      <x:c r="Q104" s="17">
        <x:f>IF($B104="","",MAX(0,MIN(30,$J104+$K104+$L104)))</x:f>
      </x:c>
      <x:c r="R104" s="17">
        <x:f>IF($B104="","",MAX(0,MIN(30,$M104+$N104+$O104)))</x:f>
      </x:c>
      <x:c r="S104" s="17">
        <x:f>IF($B104="","",$P104+$Q104+$R104)</x:f>
      </x:c>
      <x:c r="T104" s="17">
        <x:f>IF($S104="","",IF($S104&gt;=90,"A+",IF($S104&gt;=80,"A",IF($S104&gt;=70,"B",IF($S104&gt;=60,"C","D")))))</x:f>
      </x:c>
      <x:c r="U104" s="17">
        <x:f>IF($T104="","",IF($T104="A+","正常合作 / 维持额度",IF($T104="A","正常合作 / 关注回款",IF($T104="B","控制新增赊销",IF($T104="C","降低额度 / 缩短账期","停供评估 / 法务关注")))))</x:f>
      </x:c>
      <x:c r="V104" s="13" t="n"/>
      <x:c r="W104" s="12" t="n"/>
    </x:row>
    <x:row r="105">
      <x:c r="A105" s="12" t="n"/>
      <x:c r="B105" s="12" t="n"/>
      <x:c r="C105" s="12" t="n"/>
      <x:c r="D105" s="12" t="n"/>
      <x:c r="E105" s="12" t="n"/>
      <x:c r="F105" s="12" t="n"/>
      <x:c r="G105" s="12" t="n"/>
      <x:c r="H105" s="12" t="n"/>
      <x:c r="I105" s="12" t="n"/>
      <x:c r="J105" s="12" t="n"/>
      <x:c r="K105" s="12" t="n"/>
      <x:c r="L105" s="12" t="n"/>
      <x:c r="M105" s="12" t="n"/>
      <x:c r="N105" s="12" t="n"/>
      <x:c r="O105" s="12" t="n"/>
      <x:c r="P105" s="17">
        <x:f>IF($B105="","",MAX(0,40-$D105*Params!$B$2-$E105*Params!$B$3-IF($F105="是",Params!$B$4,0)-IF($G105="是",Params!$B$5,0)-IF($H105&gt;=1,Params!$B$6,0)-IF($I105&gt;90,Params!$B$8,IF($I105&gt;60,Params!$B$7,0))))</x:f>
      </x:c>
      <x:c r="Q105" s="17">
        <x:f>IF($B105="","",MAX(0,MIN(30,$J105+$K105+$L105)))</x:f>
      </x:c>
      <x:c r="R105" s="17">
        <x:f>IF($B105="","",MAX(0,MIN(30,$M105+$N105+$O105)))</x:f>
      </x:c>
      <x:c r="S105" s="17">
        <x:f>IF($B105="","",$P105+$Q105+$R105)</x:f>
      </x:c>
      <x:c r="T105" s="17">
        <x:f>IF($S105="","",IF($S105&gt;=90,"A+",IF($S105&gt;=80,"A",IF($S105&gt;=70,"B",IF($S105&gt;=60,"C","D")))))</x:f>
      </x:c>
      <x:c r="U105" s="17">
        <x:f>IF($T105="","",IF($T105="A+","正常合作 / 维持额度",IF($T105="A","正常合作 / 关注回款",IF($T105="B","控制新增赊销",IF($T105="C","降低额度 / 缩短账期","停供评估 / 法务关注")))))</x:f>
      </x:c>
      <x:c r="V105" s="13" t="n"/>
      <x:c r="W105" s="12" t="n"/>
    </x:row>
    <x:row r="106">
      <x:c r="A106" s="12" t="n"/>
      <x:c r="B106" s="12" t="n"/>
      <x:c r="C106" s="12" t="n"/>
      <x:c r="D106" s="12" t="n"/>
      <x:c r="E106" s="12" t="n"/>
      <x:c r="F106" s="12" t="n"/>
      <x:c r="G106" s="12" t="n"/>
      <x:c r="H106" s="12" t="n"/>
      <x:c r="I106" s="12" t="n"/>
      <x:c r="J106" s="12" t="n"/>
      <x:c r="K106" s="12" t="n"/>
      <x:c r="L106" s="12" t="n"/>
      <x:c r="M106" s="12" t="n"/>
      <x:c r="N106" s="12" t="n"/>
      <x:c r="O106" s="12" t="n"/>
      <x:c r="P106" s="17">
        <x:f>IF($B106="","",MAX(0,40-$D106*Params!$B$2-$E106*Params!$B$3-IF($F106="是",Params!$B$4,0)-IF($G106="是",Params!$B$5,0)-IF($H106&gt;=1,Params!$B$6,0)-IF($I106&gt;90,Params!$B$8,IF($I106&gt;60,Params!$B$7,0))))</x:f>
      </x:c>
      <x:c r="Q106" s="17">
        <x:f>IF($B106="","",MAX(0,MIN(30,$J106+$K106+$L106)))</x:f>
      </x:c>
      <x:c r="R106" s="17">
        <x:f>IF($B106="","",MAX(0,MIN(30,$M106+$N106+$O106)))</x:f>
      </x:c>
      <x:c r="S106" s="17">
        <x:f>IF($B106="","",$P106+$Q106+$R106)</x:f>
      </x:c>
      <x:c r="T106" s="17">
        <x:f>IF($S106="","",IF($S106&gt;=90,"A+",IF($S106&gt;=80,"A",IF($S106&gt;=70,"B",IF($S106&gt;=60,"C","D")))))</x:f>
      </x:c>
      <x:c r="U106" s="17">
        <x:f>IF($T106="","",IF($T106="A+","正常合作 / 维持额度",IF($T106="A","正常合作 / 关注回款",IF($T106="B","控制新增赊销",IF($T106="C","降低额度 / 缩短账期","停供评估 / 法务关注")))))</x:f>
      </x:c>
      <x:c r="V106" s="13" t="n"/>
      <x:c r="W106" s="12" t="n"/>
    </x:row>
    <x:row r="107">
      <x:c r="A107" s="12" t="n"/>
      <x:c r="B107" s="12" t="n"/>
      <x:c r="C107" s="12" t="n"/>
      <x:c r="D107" s="12" t="n"/>
      <x:c r="E107" s="12" t="n"/>
      <x:c r="F107" s="12" t="n"/>
      <x:c r="G107" s="12" t="n"/>
      <x:c r="H107" s="12" t="n"/>
      <x:c r="I107" s="12" t="n"/>
      <x:c r="J107" s="12" t="n"/>
      <x:c r="K107" s="12" t="n"/>
      <x:c r="L107" s="12" t="n"/>
      <x:c r="M107" s="12" t="n"/>
      <x:c r="N107" s="12" t="n"/>
      <x:c r="O107" s="12" t="n"/>
      <x:c r="P107" s="17">
        <x:f>IF($B107="","",MAX(0,40-$D107*Params!$B$2-$E107*Params!$B$3-IF($F107="是",Params!$B$4,0)-IF($G107="是",Params!$B$5,0)-IF($H107&gt;=1,Params!$B$6,0)-IF($I107&gt;90,Params!$B$8,IF($I107&gt;60,Params!$B$7,0))))</x:f>
      </x:c>
      <x:c r="Q107" s="17">
        <x:f>IF($B107="","",MAX(0,MIN(30,$J107+$K107+$L107)))</x:f>
      </x:c>
      <x:c r="R107" s="17">
        <x:f>IF($B107="","",MAX(0,MIN(30,$M107+$N107+$O107)))</x:f>
      </x:c>
      <x:c r="S107" s="17">
        <x:f>IF($B107="","",$P107+$Q107+$R107)</x:f>
      </x:c>
      <x:c r="T107" s="17">
        <x:f>IF($S107="","",IF($S107&gt;=90,"A+",IF($S107&gt;=80,"A",IF($S107&gt;=70,"B",IF($S107&gt;=60,"C","D")))))</x:f>
      </x:c>
      <x:c r="U107" s="17">
        <x:f>IF($T107="","",IF($T107="A+","正常合作 / 维持额度",IF($T107="A","正常合作 / 关注回款",IF($T107="B","控制新增赊销",IF($T107="C","降低额度 / 缩短账期","停供评估 / 法务关注")))))</x:f>
      </x:c>
      <x:c r="V107" s="13" t="n"/>
      <x:c r="W107" s="12" t="n"/>
    </x:row>
    <x:row r="108">
      <x:c r="A108" s="12" t="n"/>
      <x:c r="B108" s="12" t="n"/>
      <x:c r="C108" s="12" t="n"/>
      <x:c r="D108" s="12" t="n"/>
      <x:c r="E108" s="12" t="n"/>
      <x:c r="F108" s="12" t="n"/>
      <x:c r="G108" s="12" t="n"/>
      <x:c r="H108" s="12" t="n"/>
      <x:c r="I108" s="12" t="n"/>
      <x:c r="J108" s="12" t="n"/>
      <x:c r="K108" s="12" t="n"/>
      <x:c r="L108" s="12" t="n"/>
      <x:c r="M108" s="12" t="n"/>
      <x:c r="N108" s="12" t="n"/>
      <x:c r="O108" s="12" t="n"/>
      <x:c r="P108" s="17">
        <x:f>IF($B108="","",MAX(0,40-$D108*Params!$B$2-$E108*Params!$B$3-IF($F108="是",Params!$B$4,0)-IF($G108="是",Params!$B$5,0)-IF($H108&gt;=1,Params!$B$6,0)-IF($I108&gt;90,Params!$B$8,IF($I108&gt;60,Params!$B$7,0))))</x:f>
      </x:c>
      <x:c r="Q108" s="17">
        <x:f>IF($B108="","",MAX(0,MIN(30,$J108+$K108+$L108)))</x:f>
      </x:c>
      <x:c r="R108" s="17">
        <x:f>IF($B108="","",MAX(0,MIN(30,$M108+$N108+$O108)))</x:f>
      </x:c>
      <x:c r="S108" s="17">
        <x:f>IF($B108="","",$P108+$Q108+$R108)</x:f>
      </x:c>
      <x:c r="T108" s="17">
        <x:f>IF($S108="","",IF($S108&gt;=90,"A+",IF($S108&gt;=80,"A",IF($S108&gt;=70,"B",IF($S108&gt;=60,"C","D")))))</x:f>
      </x:c>
      <x:c r="U108" s="17">
        <x:f>IF($T108="","",IF($T108="A+","正常合作 / 维持额度",IF($T108="A","正常合作 / 关注回款",IF($T108="B","控制新增赊销",IF($T108="C","降低额度 / 缩短账期","停供评估 / 法务关注")))))</x:f>
      </x:c>
      <x:c r="V108" s="13" t="n"/>
      <x:c r="W108" s="12" t="n"/>
    </x:row>
    <x:row r="109">
      <x:c r="A109" s="12" t="n"/>
      <x:c r="B109" s="12" t="n"/>
      <x:c r="C109" s="12" t="n"/>
      <x:c r="D109" s="12" t="n"/>
      <x:c r="E109" s="12" t="n"/>
      <x:c r="F109" s="12" t="n"/>
      <x:c r="G109" s="12" t="n"/>
      <x:c r="H109" s="12" t="n"/>
      <x:c r="I109" s="12" t="n"/>
      <x:c r="J109" s="12" t="n"/>
      <x:c r="K109" s="12" t="n"/>
      <x:c r="L109" s="12" t="n"/>
      <x:c r="M109" s="12" t="n"/>
      <x:c r="N109" s="12" t="n"/>
      <x:c r="O109" s="12" t="n"/>
      <x:c r="P109" s="17">
        <x:f>IF($B109="","",MAX(0,40-$D109*Params!$B$2-$E109*Params!$B$3-IF($F109="是",Params!$B$4,0)-IF($G109="是",Params!$B$5,0)-IF($H109&gt;=1,Params!$B$6,0)-IF($I109&gt;90,Params!$B$8,IF($I109&gt;60,Params!$B$7,0))))</x:f>
      </x:c>
      <x:c r="Q109" s="17">
        <x:f>IF($B109="","",MAX(0,MIN(30,$J109+$K109+$L109)))</x:f>
      </x:c>
      <x:c r="R109" s="17">
        <x:f>IF($B109="","",MAX(0,MIN(30,$M109+$N109+$O109)))</x:f>
      </x:c>
      <x:c r="S109" s="17">
        <x:f>IF($B109="","",$P109+$Q109+$R109)</x:f>
      </x:c>
      <x:c r="T109" s="17">
        <x:f>IF($S109="","",IF($S109&gt;=90,"A+",IF($S109&gt;=80,"A",IF($S109&gt;=70,"B",IF($S109&gt;=60,"C","D")))))</x:f>
      </x:c>
      <x:c r="U109" s="17">
        <x:f>IF($T109="","",IF($T109="A+","正常合作 / 维持额度",IF($T109="A","正常合作 / 关注回款",IF($T109="B","控制新增赊销",IF($T109="C","降低额度 / 缩短账期","停供评估 / 法务关注")))))</x:f>
      </x:c>
      <x:c r="V109" s="13" t="n"/>
      <x:c r="W109" s="12" t="n"/>
    </x:row>
    <x:row r="110">
      <x:c r="A110" s="12" t="n"/>
      <x:c r="B110" s="12" t="n"/>
      <x:c r="C110" s="12" t="n"/>
      <x:c r="D110" s="12" t="n"/>
      <x:c r="E110" s="12" t="n"/>
      <x:c r="F110" s="12" t="n"/>
      <x:c r="G110" s="12" t="n"/>
      <x:c r="H110" s="12" t="n"/>
      <x:c r="I110" s="12" t="n"/>
      <x:c r="J110" s="12" t="n"/>
      <x:c r="K110" s="12" t="n"/>
      <x:c r="L110" s="12" t="n"/>
      <x:c r="M110" s="12" t="n"/>
      <x:c r="N110" s="12" t="n"/>
      <x:c r="O110" s="12" t="n"/>
      <x:c r="P110" s="17">
        <x:f>IF($B110="","",MAX(0,40-$D110*Params!$B$2-$E110*Params!$B$3-IF($F110="是",Params!$B$4,0)-IF($G110="是",Params!$B$5,0)-IF($H110&gt;=1,Params!$B$6,0)-IF($I110&gt;90,Params!$B$8,IF($I110&gt;60,Params!$B$7,0))))</x:f>
      </x:c>
      <x:c r="Q110" s="17">
        <x:f>IF($B110="","",MAX(0,MIN(30,$J110+$K110+$L110)))</x:f>
      </x:c>
      <x:c r="R110" s="17">
        <x:f>IF($B110="","",MAX(0,MIN(30,$M110+$N110+$O110)))</x:f>
      </x:c>
      <x:c r="S110" s="17">
        <x:f>IF($B110="","",$P110+$Q110+$R110)</x:f>
      </x:c>
      <x:c r="T110" s="17">
        <x:f>IF($S110="","",IF($S110&gt;=90,"A+",IF($S110&gt;=80,"A",IF($S110&gt;=70,"B",IF($S110&gt;=60,"C","D")))))</x:f>
      </x:c>
      <x:c r="U110" s="17">
        <x:f>IF($T110="","",IF($T110="A+","正常合作 / 维持额度",IF($T110="A","正常合作 / 关注回款",IF($T110="B","控制新增赊销",IF($T110="C","降低额度 / 缩短账期","停供评估 / 法务关注")))))</x:f>
      </x:c>
      <x:c r="V110" s="13" t="n"/>
      <x:c r="W110" s="12" t="n"/>
    </x:row>
    <x:row r="111">
      <x:c r="A111" s="12" t="n"/>
      <x:c r="B111" s="12" t="n"/>
      <x:c r="C111" s="12" t="n"/>
      <x:c r="D111" s="12" t="n"/>
      <x:c r="E111" s="12" t="n"/>
      <x:c r="F111" s="12" t="n"/>
      <x:c r="G111" s="12" t="n"/>
      <x:c r="H111" s="12" t="n"/>
      <x:c r="I111" s="12" t="n"/>
      <x:c r="J111" s="12" t="n"/>
      <x:c r="K111" s="12" t="n"/>
      <x:c r="L111" s="12" t="n"/>
      <x:c r="M111" s="12" t="n"/>
      <x:c r="N111" s="12" t="n"/>
      <x:c r="O111" s="12" t="n"/>
      <x:c r="P111" s="17">
        <x:f>IF($B111="","",MAX(0,40-$D111*Params!$B$2-$E111*Params!$B$3-IF($F111="是",Params!$B$4,0)-IF($G111="是",Params!$B$5,0)-IF($H111&gt;=1,Params!$B$6,0)-IF($I111&gt;90,Params!$B$8,IF($I111&gt;60,Params!$B$7,0))))</x:f>
      </x:c>
      <x:c r="Q111" s="17">
        <x:f>IF($B111="","",MAX(0,MIN(30,$J111+$K111+$L111)))</x:f>
      </x:c>
      <x:c r="R111" s="17">
        <x:f>IF($B111="","",MAX(0,MIN(30,$M111+$N111+$O111)))</x:f>
      </x:c>
      <x:c r="S111" s="17">
        <x:f>IF($B111="","",$P111+$Q111+$R111)</x:f>
      </x:c>
      <x:c r="T111" s="17">
        <x:f>IF($S111="","",IF($S111&gt;=90,"A+",IF($S111&gt;=80,"A",IF($S111&gt;=70,"B",IF($S111&gt;=60,"C","D")))))</x:f>
      </x:c>
      <x:c r="U111" s="17">
        <x:f>IF($T111="","",IF($T111="A+","正常合作 / 维持额度",IF($T111="A","正常合作 / 关注回款",IF($T111="B","控制新增赊销",IF($T111="C","降低额度 / 缩短账期","停供评估 / 法务关注")))))</x:f>
      </x:c>
      <x:c r="V111" s="13" t="n"/>
      <x:c r="W111" s="12" t="n"/>
    </x:row>
    <x:row r="112">
      <x:c r="A112" s="12" t="n"/>
      <x:c r="B112" s="12" t="n"/>
      <x:c r="C112" s="12" t="n"/>
      <x:c r="D112" s="12" t="n"/>
      <x:c r="E112" s="12" t="n"/>
      <x:c r="F112" s="12" t="n"/>
      <x:c r="G112" s="12" t="n"/>
      <x:c r="H112" s="12" t="n"/>
      <x:c r="I112" s="12" t="n"/>
      <x:c r="J112" s="12" t="n"/>
      <x:c r="K112" s="12" t="n"/>
      <x:c r="L112" s="12" t="n"/>
      <x:c r="M112" s="12" t="n"/>
      <x:c r="N112" s="12" t="n"/>
      <x:c r="O112" s="12" t="n"/>
      <x:c r="P112" s="17">
        <x:f>IF($B112="","",MAX(0,40-$D112*Params!$B$2-$E112*Params!$B$3-IF($F112="是",Params!$B$4,0)-IF($G112="是",Params!$B$5,0)-IF($H112&gt;=1,Params!$B$6,0)-IF($I112&gt;90,Params!$B$8,IF($I112&gt;60,Params!$B$7,0))))</x:f>
      </x:c>
      <x:c r="Q112" s="17">
        <x:f>IF($B112="","",MAX(0,MIN(30,$J112+$K112+$L112)))</x:f>
      </x:c>
      <x:c r="R112" s="17">
        <x:f>IF($B112="","",MAX(0,MIN(30,$M112+$N112+$O112)))</x:f>
      </x:c>
      <x:c r="S112" s="17">
        <x:f>IF($B112="","",$P112+$Q112+$R112)</x:f>
      </x:c>
      <x:c r="T112" s="17">
        <x:f>IF($S112="","",IF($S112&gt;=90,"A+",IF($S112&gt;=80,"A",IF($S112&gt;=70,"B",IF($S112&gt;=60,"C","D")))))</x:f>
      </x:c>
      <x:c r="U112" s="17">
        <x:f>IF($T112="","",IF($T112="A+","正常合作 / 维持额度",IF($T112="A","正常合作 / 关注回款",IF($T112="B","控制新增赊销",IF($T112="C","降低额度 / 缩短账期","停供评估 / 法务关注")))))</x:f>
      </x:c>
      <x:c r="V112" s="13" t="n"/>
      <x:c r="W112" s="12" t="n"/>
    </x:row>
    <x:row r="113">
      <x:c r="A113" s="12" t="n"/>
      <x:c r="B113" s="12" t="n"/>
      <x:c r="C113" s="12" t="n"/>
      <x:c r="D113" s="12" t="n"/>
      <x:c r="E113" s="12" t="n"/>
      <x:c r="F113" s="12" t="n"/>
      <x:c r="G113" s="12" t="n"/>
      <x:c r="H113" s="12" t="n"/>
      <x:c r="I113" s="12" t="n"/>
      <x:c r="J113" s="12" t="n"/>
      <x:c r="K113" s="12" t="n"/>
      <x:c r="L113" s="12" t="n"/>
      <x:c r="M113" s="12" t="n"/>
      <x:c r="N113" s="12" t="n"/>
      <x:c r="O113" s="12" t="n"/>
      <x:c r="P113" s="17">
        <x:f>IF($B113="","",MAX(0,40-$D113*Params!$B$2-$E113*Params!$B$3-IF($F113="是",Params!$B$4,0)-IF($G113="是",Params!$B$5,0)-IF($H113&gt;=1,Params!$B$6,0)-IF($I113&gt;90,Params!$B$8,IF($I113&gt;60,Params!$B$7,0))))</x:f>
      </x:c>
      <x:c r="Q113" s="17">
        <x:f>IF($B113="","",MAX(0,MIN(30,$J113+$K113+$L113)))</x:f>
      </x:c>
      <x:c r="R113" s="17">
        <x:f>IF($B113="","",MAX(0,MIN(30,$M113+$N113+$O113)))</x:f>
      </x:c>
      <x:c r="S113" s="17">
        <x:f>IF($B113="","",$P113+$Q113+$R113)</x:f>
      </x:c>
      <x:c r="T113" s="17">
        <x:f>IF($S113="","",IF($S113&gt;=90,"A+",IF($S113&gt;=80,"A",IF($S113&gt;=70,"B",IF($S113&gt;=60,"C","D")))))</x:f>
      </x:c>
      <x:c r="U113" s="17">
        <x:f>IF($T113="","",IF($T113="A+","正常合作 / 维持额度",IF($T113="A","正常合作 / 关注回款",IF($T113="B","控制新增赊销",IF($T113="C","降低额度 / 缩短账期","停供评估 / 法务关注")))))</x:f>
      </x:c>
      <x:c r="V113" s="13" t="n"/>
      <x:c r="W113" s="12" t="n"/>
    </x:row>
    <x:row r="114">
      <x:c r="A114" s="12" t="n"/>
      <x:c r="B114" s="12" t="n"/>
      <x:c r="C114" s="12" t="n"/>
      <x:c r="D114" s="12" t="n"/>
      <x:c r="E114" s="12" t="n"/>
      <x:c r="F114" s="12" t="n"/>
      <x:c r="G114" s="12" t="n"/>
      <x:c r="H114" s="12" t="n"/>
      <x:c r="I114" s="12" t="n"/>
      <x:c r="J114" s="12" t="n"/>
      <x:c r="K114" s="12" t="n"/>
      <x:c r="L114" s="12" t="n"/>
      <x:c r="M114" s="12" t="n"/>
      <x:c r="N114" s="12" t="n"/>
      <x:c r="O114" s="12" t="n"/>
      <x:c r="P114" s="17">
        <x:f>IF($B114="","",MAX(0,40-$D114*Params!$B$2-$E114*Params!$B$3-IF($F114="是",Params!$B$4,0)-IF($G114="是",Params!$B$5,0)-IF($H114&gt;=1,Params!$B$6,0)-IF($I114&gt;90,Params!$B$8,IF($I114&gt;60,Params!$B$7,0))))</x:f>
      </x:c>
      <x:c r="Q114" s="17">
        <x:f>IF($B114="","",MAX(0,MIN(30,$J114+$K114+$L114)))</x:f>
      </x:c>
      <x:c r="R114" s="17">
        <x:f>IF($B114="","",MAX(0,MIN(30,$M114+$N114+$O114)))</x:f>
      </x:c>
      <x:c r="S114" s="17">
        <x:f>IF($B114="","",$P114+$Q114+$R114)</x:f>
      </x:c>
      <x:c r="T114" s="17">
        <x:f>IF($S114="","",IF($S114&gt;=90,"A+",IF($S114&gt;=80,"A",IF($S114&gt;=70,"B",IF($S114&gt;=60,"C","D")))))</x:f>
      </x:c>
      <x:c r="U114" s="17">
        <x:f>IF($T114="","",IF($T114="A+","正常合作 / 维持额度",IF($T114="A","正常合作 / 关注回款",IF($T114="B","控制新增赊销",IF($T114="C","降低额度 / 缩短账期","停供评估 / 法务关注")))))</x:f>
      </x:c>
      <x:c r="V114" s="13" t="n"/>
      <x:c r="W114" s="12" t="n"/>
    </x:row>
    <x:row r="115">
      <x:c r="A115" s="12" t="n"/>
      <x:c r="B115" s="12" t="n"/>
      <x:c r="C115" s="12" t="n"/>
      <x:c r="D115" s="12" t="n"/>
      <x:c r="E115" s="12" t="n"/>
      <x:c r="F115" s="12" t="n"/>
      <x:c r="G115" s="12" t="n"/>
      <x:c r="H115" s="12" t="n"/>
      <x:c r="I115" s="12" t="n"/>
      <x:c r="J115" s="12" t="n"/>
      <x:c r="K115" s="12" t="n"/>
      <x:c r="L115" s="12" t="n"/>
      <x:c r="M115" s="12" t="n"/>
      <x:c r="N115" s="12" t="n"/>
      <x:c r="O115" s="12" t="n"/>
      <x:c r="P115" s="17">
        <x:f>IF($B115="","",MAX(0,40-$D115*Params!$B$2-$E115*Params!$B$3-IF($F115="是",Params!$B$4,0)-IF($G115="是",Params!$B$5,0)-IF($H115&gt;=1,Params!$B$6,0)-IF($I115&gt;90,Params!$B$8,IF($I115&gt;60,Params!$B$7,0))))</x:f>
      </x:c>
      <x:c r="Q115" s="17">
        <x:f>IF($B115="","",MAX(0,MIN(30,$J115+$K115+$L115)))</x:f>
      </x:c>
      <x:c r="R115" s="17">
        <x:f>IF($B115="","",MAX(0,MIN(30,$M115+$N115+$O115)))</x:f>
      </x:c>
      <x:c r="S115" s="17">
        <x:f>IF($B115="","",$P115+$Q115+$R115)</x:f>
      </x:c>
      <x:c r="T115" s="17">
        <x:f>IF($S115="","",IF($S115&gt;=90,"A+",IF($S115&gt;=80,"A",IF($S115&gt;=70,"B",IF($S115&gt;=60,"C","D")))))</x:f>
      </x:c>
      <x:c r="U115" s="17">
        <x:f>IF($T115="","",IF($T115="A+","正常合作 / 维持额度",IF($T115="A","正常合作 / 关注回款",IF($T115="B","控制新增赊销",IF($T115="C","降低额度 / 缩短账期","停供评估 / 法务关注")))))</x:f>
      </x:c>
      <x:c r="V115" s="13" t="n"/>
      <x:c r="W115" s="12" t="n"/>
    </x:row>
    <x:row r="116">
      <x:c r="A116" s="12" t="n"/>
      <x:c r="B116" s="12" t="n"/>
      <x:c r="C116" s="12" t="n"/>
      <x:c r="D116" s="12" t="n"/>
      <x:c r="E116" s="12" t="n"/>
      <x:c r="F116" s="12" t="n"/>
      <x:c r="G116" s="12" t="n"/>
      <x:c r="H116" s="12" t="n"/>
      <x:c r="I116" s="12" t="n"/>
      <x:c r="J116" s="12" t="n"/>
      <x:c r="K116" s="12" t="n"/>
      <x:c r="L116" s="12" t="n"/>
      <x:c r="M116" s="12" t="n"/>
      <x:c r="N116" s="12" t="n"/>
      <x:c r="O116" s="12" t="n"/>
      <x:c r="P116" s="17">
        <x:f>IF($B116="","",MAX(0,40-$D116*Params!$B$2-$E116*Params!$B$3-IF($F116="是",Params!$B$4,0)-IF($G116="是",Params!$B$5,0)-IF($H116&gt;=1,Params!$B$6,0)-IF($I116&gt;90,Params!$B$8,IF($I116&gt;60,Params!$B$7,0))))</x:f>
      </x:c>
      <x:c r="Q116" s="17">
        <x:f>IF($B116="","",MAX(0,MIN(30,$J116+$K116+$L116)))</x:f>
      </x:c>
      <x:c r="R116" s="17">
        <x:f>IF($B116="","",MAX(0,MIN(30,$M116+$N116+$O116)))</x:f>
      </x:c>
      <x:c r="S116" s="17">
        <x:f>IF($B116="","",$P116+$Q116+$R116)</x:f>
      </x:c>
      <x:c r="T116" s="17">
        <x:f>IF($S116="","",IF($S116&gt;=90,"A+",IF($S116&gt;=80,"A",IF($S116&gt;=70,"B",IF($S116&gt;=60,"C","D")))))</x:f>
      </x:c>
      <x:c r="U116" s="17">
        <x:f>IF($T116="","",IF($T116="A+","正常合作 / 维持额度",IF($T116="A","正常合作 / 关注回款",IF($T116="B","控制新增赊销",IF($T116="C","降低额度 / 缩短账期","停供评估 / 法务关注")))))</x:f>
      </x:c>
      <x:c r="V116" s="13" t="n"/>
      <x:c r="W116" s="12" t="n"/>
    </x:row>
    <x:row r="117">
      <x:c r="A117" s="12" t="n"/>
      <x:c r="B117" s="12" t="n"/>
      <x:c r="C117" s="12" t="n"/>
      <x:c r="D117" s="12" t="n"/>
      <x:c r="E117" s="12" t="n"/>
      <x:c r="F117" s="12" t="n"/>
      <x:c r="G117" s="12" t="n"/>
      <x:c r="H117" s="12" t="n"/>
      <x:c r="I117" s="12" t="n"/>
      <x:c r="J117" s="12" t="n"/>
      <x:c r="K117" s="12" t="n"/>
      <x:c r="L117" s="12" t="n"/>
      <x:c r="M117" s="12" t="n"/>
      <x:c r="N117" s="12" t="n"/>
      <x:c r="O117" s="12" t="n"/>
      <x:c r="P117" s="17">
        <x:f>IF($B117="","",MAX(0,40-$D117*Params!$B$2-$E117*Params!$B$3-IF($F117="是",Params!$B$4,0)-IF($G117="是",Params!$B$5,0)-IF($H117&gt;=1,Params!$B$6,0)-IF($I117&gt;90,Params!$B$8,IF($I117&gt;60,Params!$B$7,0))))</x:f>
      </x:c>
      <x:c r="Q117" s="17">
        <x:f>IF($B117="","",MAX(0,MIN(30,$J117+$K117+$L117)))</x:f>
      </x:c>
      <x:c r="R117" s="17">
        <x:f>IF($B117="","",MAX(0,MIN(30,$M117+$N117+$O117)))</x:f>
      </x:c>
      <x:c r="S117" s="17">
        <x:f>IF($B117="","",$P117+$Q117+$R117)</x:f>
      </x:c>
      <x:c r="T117" s="17">
        <x:f>IF($S117="","",IF($S117&gt;=90,"A+",IF($S117&gt;=80,"A",IF($S117&gt;=70,"B",IF($S117&gt;=60,"C","D")))))</x:f>
      </x:c>
      <x:c r="U117" s="17">
        <x:f>IF($T117="","",IF($T117="A+","正常合作 / 维持额度",IF($T117="A","正常合作 / 关注回款",IF($T117="B","控制新增赊销",IF($T117="C","降低额度 / 缩短账期","停供评估 / 法务关注")))))</x:f>
      </x:c>
      <x:c r="V117" s="13" t="n"/>
      <x:c r="W117" s="12" t="n"/>
    </x:row>
    <x:row r="118">
      <x:c r="A118" s="12" t="n"/>
      <x:c r="B118" s="12" t="n"/>
      <x:c r="C118" s="12" t="n"/>
      <x:c r="D118" s="12" t="n"/>
      <x:c r="E118" s="12" t="n"/>
      <x:c r="F118" s="12" t="n"/>
      <x:c r="G118" s="12" t="n"/>
      <x:c r="H118" s="12" t="n"/>
      <x:c r="I118" s="12" t="n"/>
      <x:c r="J118" s="12" t="n"/>
      <x:c r="K118" s="12" t="n"/>
      <x:c r="L118" s="12" t="n"/>
      <x:c r="M118" s="12" t="n"/>
      <x:c r="N118" s="12" t="n"/>
      <x:c r="O118" s="12" t="n"/>
      <x:c r="P118" s="17">
        <x:f>IF($B118="","",MAX(0,40-$D118*Params!$B$2-$E118*Params!$B$3-IF($F118="是",Params!$B$4,0)-IF($G118="是",Params!$B$5,0)-IF($H118&gt;=1,Params!$B$6,0)-IF($I118&gt;90,Params!$B$8,IF($I118&gt;60,Params!$B$7,0))))</x:f>
      </x:c>
      <x:c r="Q118" s="17">
        <x:f>IF($B118="","",MAX(0,MIN(30,$J118+$K118+$L118)))</x:f>
      </x:c>
      <x:c r="R118" s="17">
        <x:f>IF($B118="","",MAX(0,MIN(30,$M118+$N118+$O118)))</x:f>
      </x:c>
      <x:c r="S118" s="17">
        <x:f>IF($B118="","",$P118+$Q118+$R118)</x:f>
      </x:c>
      <x:c r="T118" s="17">
        <x:f>IF($S118="","",IF($S118&gt;=90,"A+",IF($S118&gt;=80,"A",IF($S118&gt;=70,"B",IF($S118&gt;=60,"C","D")))))</x:f>
      </x:c>
      <x:c r="U118" s="17">
        <x:f>IF($T118="","",IF($T118="A+","正常合作 / 维持额度",IF($T118="A","正常合作 / 关注回款",IF($T118="B","控制新增赊销",IF($T118="C","降低额度 / 缩短账期","停供评估 / 法务关注")))))</x:f>
      </x:c>
      <x:c r="V118" s="13" t="n"/>
      <x:c r="W118" s="12" t="n"/>
    </x:row>
    <x:row r="119">
      <x:c r="A119" s="12" t="n"/>
      <x:c r="B119" s="12" t="n"/>
      <x:c r="C119" s="12" t="n"/>
      <x:c r="D119" s="12" t="n"/>
      <x:c r="E119" s="12" t="n"/>
      <x:c r="F119" s="12" t="n"/>
      <x:c r="G119" s="12" t="n"/>
      <x:c r="H119" s="12" t="n"/>
      <x:c r="I119" s="12" t="n"/>
      <x:c r="J119" s="12" t="n"/>
      <x:c r="K119" s="12" t="n"/>
      <x:c r="L119" s="12" t="n"/>
      <x:c r="M119" s="12" t="n"/>
      <x:c r="N119" s="12" t="n"/>
      <x:c r="O119" s="12" t="n"/>
      <x:c r="P119" s="17">
        <x:f>IF($B119="","",MAX(0,40-$D119*Params!$B$2-$E119*Params!$B$3-IF($F119="是",Params!$B$4,0)-IF($G119="是",Params!$B$5,0)-IF($H119&gt;=1,Params!$B$6,0)-IF($I119&gt;90,Params!$B$8,IF($I119&gt;60,Params!$B$7,0))))</x:f>
      </x:c>
      <x:c r="Q119" s="17">
        <x:f>IF($B119="","",MAX(0,MIN(30,$J119+$K119+$L119)))</x:f>
      </x:c>
      <x:c r="R119" s="17">
        <x:f>IF($B119="","",MAX(0,MIN(30,$M119+$N119+$O119)))</x:f>
      </x:c>
      <x:c r="S119" s="17">
        <x:f>IF($B119="","",$P119+$Q119+$R119)</x:f>
      </x:c>
      <x:c r="T119" s="17">
        <x:f>IF($S119="","",IF($S119&gt;=90,"A+",IF($S119&gt;=80,"A",IF($S119&gt;=70,"B",IF($S119&gt;=60,"C","D")))))</x:f>
      </x:c>
      <x:c r="U119" s="17">
        <x:f>IF($T119="","",IF($T119="A+","正常合作 / 维持额度",IF($T119="A","正常合作 / 关注回款",IF($T119="B","控制新增赊销",IF($T119="C","降低额度 / 缩短账期","停供评估 / 法务关注")))))</x:f>
      </x:c>
      <x:c r="V119" s="13" t="n"/>
      <x:c r="W119" s="12" t="n"/>
    </x:row>
    <x:row r="120">
      <x:c r="A120" s="12" t="n"/>
      <x:c r="B120" s="12" t="n"/>
      <x:c r="C120" s="12" t="n"/>
      <x:c r="D120" s="12" t="n"/>
      <x:c r="E120" s="12" t="n"/>
      <x:c r="F120" s="12" t="n"/>
      <x:c r="G120" s="12" t="n"/>
      <x:c r="H120" s="12" t="n"/>
      <x:c r="I120" s="12" t="n"/>
      <x:c r="J120" s="12" t="n"/>
      <x:c r="K120" s="12" t="n"/>
      <x:c r="L120" s="12" t="n"/>
      <x:c r="M120" s="12" t="n"/>
      <x:c r="N120" s="12" t="n"/>
      <x:c r="O120" s="12" t="n"/>
      <x:c r="P120" s="17">
        <x:f>IF($B120="","",MAX(0,40-$D120*Params!$B$2-$E120*Params!$B$3-IF($F120="是",Params!$B$4,0)-IF($G120="是",Params!$B$5,0)-IF($H120&gt;=1,Params!$B$6,0)-IF($I120&gt;90,Params!$B$8,IF($I120&gt;60,Params!$B$7,0))))</x:f>
      </x:c>
      <x:c r="Q120" s="17">
        <x:f>IF($B120="","",MAX(0,MIN(30,$J120+$K120+$L120)))</x:f>
      </x:c>
      <x:c r="R120" s="17">
        <x:f>IF($B120="","",MAX(0,MIN(30,$M120+$N120+$O120)))</x:f>
      </x:c>
      <x:c r="S120" s="17">
        <x:f>IF($B120="","",$P120+$Q120+$R120)</x:f>
      </x:c>
      <x:c r="T120" s="17">
        <x:f>IF($S120="","",IF($S120&gt;=90,"A+",IF($S120&gt;=80,"A",IF($S120&gt;=70,"B",IF($S120&gt;=60,"C","D")))))</x:f>
      </x:c>
      <x:c r="U120" s="17">
        <x:f>IF($T120="","",IF($T120="A+","正常合作 / 维持额度",IF($T120="A","正常合作 / 关注回款",IF($T120="B","控制新增赊销",IF($T120="C","降低额度 / 缩短账期","停供评估 / 法务关注")))))</x:f>
      </x:c>
      <x:c r="V120" s="13" t="n"/>
      <x:c r="W120" s="12" t="n"/>
    </x:row>
    <x:row r="121">
      <x:c r="A121" s="12" t="n"/>
      <x:c r="B121" s="12" t="n"/>
      <x:c r="C121" s="12" t="n"/>
      <x:c r="D121" s="12" t="n"/>
      <x:c r="E121" s="12" t="n"/>
      <x:c r="F121" s="12" t="n"/>
      <x:c r="G121" s="12" t="n"/>
      <x:c r="H121" s="12" t="n"/>
      <x:c r="I121" s="12" t="n"/>
      <x:c r="J121" s="12" t="n"/>
      <x:c r="K121" s="12" t="n"/>
      <x:c r="L121" s="12" t="n"/>
      <x:c r="M121" s="12" t="n"/>
      <x:c r="N121" s="12" t="n"/>
      <x:c r="O121" s="12" t="n"/>
      <x:c r="P121" s="17">
        <x:f>IF($B121="","",MAX(0,40-$D121*Params!$B$2-$E121*Params!$B$3-IF($F121="是",Params!$B$4,0)-IF($G121="是",Params!$B$5,0)-IF($H121&gt;=1,Params!$B$6,0)-IF($I121&gt;90,Params!$B$8,IF($I121&gt;60,Params!$B$7,0))))</x:f>
      </x:c>
      <x:c r="Q121" s="17">
        <x:f>IF($B121="","",MAX(0,MIN(30,$J121+$K121+$L121)))</x:f>
      </x:c>
      <x:c r="R121" s="17">
        <x:f>IF($B121="","",MAX(0,MIN(30,$M121+$N121+$O121)))</x:f>
      </x:c>
      <x:c r="S121" s="17">
        <x:f>IF($B121="","",$P121+$Q121+$R121)</x:f>
      </x:c>
      <x:c r="T121" s="17">
        <x:f>IF($S121="","",IF($S121&gt;=90,"A+",IF($S121&gt;=80,"A",IF($S121&gt;=70,"B",IF($S121&gt;=60,"C","D")))))</x:f>
      </x:c>
      <x:c r="U121" s="17">
        <x:f>IF($T121="","",IF($T121="A+","正常合作 / 维持额度",IF($T121="A","正常合作 / 关注回款",IF($T121="B","控制新增赊销",IF($T121="C","降低额度 / 缩短账期","停供评估 / 法务关注")))))</x:f>
      </x:c>
      <x:c r="V121" s="13" t="n"/>
      <x:c r="W121" s="12" t="n"/>
    </x:row>
    <x:row r="122">
      <x:c r="A122" s="12" t="n"/>
      <x:c r="B122" s="12" t="n"/>
      <x:c r="C122" s="12" t="n"/>
      <x:c r="D122" s="12" t="n"/>
      <x:c r="E122" s="12" t="n"/>
      <x:c r="F122" s="12" t="n"/>
      <x:c r="G122" s="12" t="n"/>
      <x:c r="H122" s="12" t="n"/>
      <x:c r="I122" s="12" t="n"/>
      <x:c r="J122" s="12" t="n"/>
      <x:c r="K122" s="12" t="n"/>
      <x:c r="L122" s="12" t="n"/>
      <x:c r="M122" s="12" t="n"/>
      <x:c r="N122" s="12" t="n"/>
      <x:c r="O122" s="12" t="n"/>
      <x:c r="P122" s="17">
        <x:f>IF($B122="","",MAX(0,40-$D122*Params!$B$2-$E122*Params!$B$3-IF($F122="是",Params!$B$4,0)-IF($G122="是",Params!$B$5,0)-IF($H122&gt;=1,Params!$B$6,0)-IF($I122&gt;90,Params!$B$8,IF($I122&gt;60,Params!$B$7,0))))</x:f>
      </x:c>
      <x:c r="Q122" s="17">
        <x:f>IF($B122="","",MAX(0,MIN(30,$J122+$K122+$L122)))</x:f>
      </x:c>
      <x:c r="R122" s="17">
        <x:f>IF($B122="","",MAX(0,MIN(30,$M122+$N122+$O122)))</x:f>
      </x:c>
      <x:c r="S122" s="17">
        <x:f>IF($B122="","",$P122+$Q122+$R122)</x:f>
      </x:c>
      <x:c r="T122" s="17">
        <x:f>IF($S122="","",IF($S122&gt;=90,"A+",IF($S122&gt;=80,"A",IF($S122&gt;=70,"B",IF($S122&gt;=60,"C","D")))))</x:f>
      </x:c>
      <x:c r="U122" s="17">
        <x:f>IF($T122="","",IF($T122="A+","正常合作 / 维持额度",IF($T122="A","正常合作 / 关注回款",IF($T122="B","控制新增赊销",IF($T122="C","降低额度 / 缩短账期","停供评估 / 法务关注")))))</x:f>
      </x:c>
      <x:c r="V122" s="13" t="n"/>
      <x:c r="W122" s="12" t="n"/>
    </x:row>
    <x:row r="123">
      <x:c r="A123" s="12" t="n"/>
      <x:c r="B123" s="12" t="n"/>
      <x:c r="C123" s="12" t="n"/>
      <x:c r="D123" s="12" t="n"/>
      <x:c r="E123" s="12" t="n"/>
      <x:c r="F123" s="12" t="n"/>
      <x:c r="G123" s="12" t="n"/>
      <x:c r="H123" s="12" t="n"/>
      <x:c r="I123" s="12" t="n"/>
      <x:c r="J123" s="12" t="n"/>
      <x:c r="K123" s="12" t="n"/>
      <x:c r="L123" s="12" t="n"/>
      <x:c r="M123" s="12" t="n"/>
      <x:c r="N123" s="12" t="n"/>
      <x:c r="O123" s="12" t="n"/>
      <x:c r="P123" s="17">
        <x:f>IF($B123="","",MAX(0,40-$D123*Params!$B$2-$E123*Params!$B$3-IF($F123="是",Params!$B$4,0)-IF($G123="是",Params!$B$5,0)-IF($H123&gt;=1,Params!$B$6,0)-IF($I123&gt;90,Params!$B$8,IF($I123&gt;60,Params!$B$7,0))))</x:f>
      </x:c>
      <x:c r="Q123" s="17">
        <x:f>IF($B123="","",MAX(0,MIN(30,$J123+$K123+$L123)))</x:f>
      </x:c>
      <x:c r="R123" s="17">
        <x:f>IF($B123="","",MAX(0,MIN(30,$M123+$N123+$O123)))</x:f>
      </x:c>
      <x:c r="S123" s="17">
        <x:f>IF($B123="","",$P123+$Q123+$R123)</x:f>
      </x:c>
      <x:c r="T123" s="17">
        <x:f>IF($S123="","",IF($S123&gt;=90,"A+",IF($S123&gt;=80,"A",IF($S123&gt;=70,"B",IF($S123&gt;=60,"C","D")))))</x:f>
      </x:c>
      <x:c r="U123" s="17">
        <x:f>IF($T123="","",IF($T123="A+","正常合作 / 维持额度",IF($T123="A","正常合作 / 关注回款",IF($T123="B","控制新增赊销",IF($T123="C","降低额度 / 缩短账期","停供评估 / 法务关注")))))</x:f>
      </x:c>
      <x:c r="V123" s="13" t="n"/>
      <x:c r="W123" s="12" t="n"/>
    </x:row>
    <x:row r="124">
      <x:c r="A124" s="12" t="n"/>
      <x:c r="B124" s="12" t="n"/>
      <x:c r="C124" s="12" t="n"/>
      <x:c r="D124" s="12" t="n"/>
      <x:c r="E124" s="12" t="n"/>
      <x:c r="F124" s="12" t="n"/>
      <x:c r="G124" s="12" t="n"/>
      <x:c r="H124" s="12" t="n"/>
      <x:c r="I124" s="12" t="n"/>
      <x:c r="J124" s="12" t="n"/>
      <x:c r="K124" s="12" t="n"/>
      <x:c r="L124" s="12" t="n"/>
      <x:c r="M124" s="12" t="n"/>
      <x:c r="N124" s="12" t="n"/>
      <x:c r="O124" s="12" t="n"/>
      <x:c r="P124" s="17">
        <x:f>IF($B124="","",MAX(0,40-$D124*Params!$B$2-$E124*Params!$B$3-IF($F124="是",Params!$B$4,0)-IF($G124="是",Params!$B$5,0)-IF($H124&gt;=1,Params!$B$6,0)-IF($I124&gt;90,Params!$B$8,IF($I124&gt;60,Params!$B$7,0))))</x:f>
      </x:c>
      <x:c r="Q124" s="17">
        <x:f>IF($B124="","",MAX(0,MIN(30,$J124+$K124+$L124)))</x:f>
      </x:c>
      <x:c r="R124" s="17">
        <x:f>IF($B124="","",MAX(0,MIN(30,$M124+$N124+$O124)))</x:f>
      </x:c>
      <x:c r="S124" s="17">
        <x:f>IF($B124="","",$P124+$Q124+$R124)</x:f>
      </x:c>
      <x:c r="T124" s="17">
        <x:f>IF($S124="","",IF($S124&gt;=90,"A+",IF($S124&gt;=80,"A",IF($S124&gt;=70,"B",IF($S124&gt;=60,"C","D")))))</x:f>
      </x:c>
      <x:c r="U124" s="17">
        <x:f>IF($T124="","",IF($T124="A+","正常合作 / 维持额度",IF($T124="A","正常合作 / 关注回款",IF($T124="B","控制新增赊销",IF($T124="C","降低额度 / 缩短账期","停供评估 / 法务关注")))))</x:f>
      </x:c>
      <x:c r="V124" s="13" t="n"/>
      <x:c r="W124" s="12" t="n"/>
    </x:row>
    <x:row r="125">
      <x:c r="A125" s="12" t="n"/>
      <x:c r="B125" s="12" t="n"/>
      <x:c r="C125" s="12" t="n"/>
      <x:c r="D125" s="12" t="n"/>
      <x:c r="E125" s="12" t="n"/>
      <x:c r="F125" s="12" t="n"/>
      <x:c r="G125" s="12" t="n"/>
      <x:c r="H125" s="12" t="n"/>
      <x:c r="I125" s="12" t="n"/>
      <x:c r="J125" s="12" t="n"/>
      <x:c r="K125" s="12" t="n"/>
      <x:c r="L125" s="12" t="n"/>
      <x:c r="M125" s="12" t="n"/>
      <x:c r="N125" s="12" t="n"/>
      <x:c r="O125" s="12" t="n"/>
      <x:c r="P125" s="17">
        <x:f>IF($B125="","",MAX(0,40-$D125*Params!$B$2-$E125*Params!$B$3-IF($F125="是",Params!$B$4,0)-IF($G125="是",Params!$B$5,0)-IF($H125&gt;=1,Params!$B$6,0)-IF($I125&gt;90,Params!$B$8,IF($I125&gt;60,Params!$B$7,0))))</x:f>
      </x:c>
      <x:c r="Q125" s="17">
        <x:f>IF($B125="","",MAX(0,MIN(30,$J125+$K125+$L125)))</x:f>
      </x:c>
      <x:c r="R125" s="17">
        <x:f>IF($B125="","",MAX(0,MIN(30,$M125+$N125+$O125)))</x:f>
      </x:c>
      <x:c r="S125" s="17">
        <x:f>IF($B125="","",$P125+$Q125+$R125)</x:f>
      </x:c>
      <x:c r="T125" s="17">
        <x:f>IF($S125="","",IF($S125&gt;=90,"A+",IF($S125&gt;=80,"A",IF($S125&gt;=70,"B",IF($S125&gt;=60,"C","D")))))</x:f>
      </x:c>
      <x:c r="U125" s="17">
        <x:f>IF($T125="","",IF($T125="A+","正常合作 / 维持额度",IF($T125="A","正常合作 / 关注回款",IF($T125="B","控制新增赊销",IF($T125="C","降低额度 / 缩短账期","停供评估 / 法务关注")))))</x:f>
      </x:c>
      <x:c r="V125" s="13" t="n"/>
      <x:c r="W125" s="12" t="n"/>
    </x:row>
    <x:row r="126">
      <x:c r="A126" s="12" t="n"/>
      <x:c r="B126" s="12" t="n"/>
      <x:c r="C126" s="12" t="n"/>
      <x:c r="D126" s="12" t="n"/>
      <x:c r="E126" s="12" t="n"/>
      <x:c r="F126" s="12" t="n"/>
      <x:c r="G126" s="12" t="n"/>
      <x:c r="H126" s="12" t="n"/>
      <x:c r="I126" s="12" t="n"/>
      <x:c r="J126" s="12" t="n"/>
      <x:c r="K126" s="12" t="n"/>
      <x:c r="L126" s="12" t="n"/>
      <x:c r="M126" s="12" t="n"/>
      <x:c r="N126" s="12" t="n"/>
      <x:c r="O126" s="12" t="n"/>
      <x:c r="P126" s="17">
        <x:f>IF($B126="","",MAX(0,40-$D126*Params!$B$2-$E126*Params!$B$3-IF($F126="是",Params!$B$4,0)-IF($G126="是",Params!$B$5,0)-IF($H126&gt;=1,Params!$B$6,0)-IF($I126&gt;90,Params!$B$8,IF($I126&gt;60,Params!$B$7,0))))</x:f>
      </x:c>
      <x:c r="Q126" s="17">
        <x:f>IF($B126="","",MAX(0,MIN(30,$J126+$K126+$L126)))</x:f>
      </x:c>
      <x:c r="R126" s="17">
        <x:f>IF($B126="","",MAX(0,MIN(30,$M126+$N126+$O126)))</x:f>
      </x:c>
      <x:c r="S126" s="17">
        <x:f>IF($B126="","",$P126+$Q126+$R126)</x:f>
      </x:c>
      <x:c r="T126" s="17">
        <x:f>IF($S126="","",IF($S126&gt;=90,"A+",IF($S126&gt;=80,"A",IF($S126&gt;=70,"B",IF($S126&gt;=60,"C","D")))))</x:f>
      </x:c>
      <x:c r="U126" s="17">
        <x:f>IF($T126="","",IF($T126="A+","正常合作 / 维持额度",IF($T126="A","正常合作 / 关注回款",IF($T126="B","控制新增赊销",IF($T126="C","降低额度 / 缩短账期","停供评估 / 法务关注")))))</x:f>
      </x:c>
      <x:c r="V126" s="13" t="n"/>
      <x:c r="W126" s="12" t="n"/>
    </x:row>
    <x:row r="127">
      <x:c r="A127" s="12" t="n"/>
      <x:c r="B127" s="12" t="n"/>
      <x:c r="C127" s="12" t="n"/>
      <x:c r="D127" s="12" t="n"/>
      <x:c r="E127" s="12" t="n"/>
      <x:c r="F127" s="12" t="n"/>
      <x:c r="G127" s="12" t="n"/>
      <x:c r="H127" s="12" t="n"/>
      <x:c r="I127" s="12" t="n"/>
      <x:c r="J127" s="12" t="n"/>
      <x:c r="K127" s="12" t="n"/>
      <x:c r="L127" s="12" t="n"/>
      <x:c r="M127" s="12" t="n"/>
      <x:c r="N127" s="12" t="n"/>
      <x:c r="O127" s="12" t="n"/>
      <x:c r="P127" s="17">
        <x:f>IF($B127="","",MAX(0,40-$D127*Params!$B$2-$E127*Params!$B$3-IF($F127="是",Params!$B$4,0)-IF($G127="是",Params!$B$5,0)-IF($H127&gt;=1,Params!$B$6,0)-IF($I127&gt;90,Params!$B$8,IF($I127&gt;60,Params!$B$7,0))))</x:f>
      </x:c>
      <x:c r="Q127" s="17">
        <x:f>IF($B127="","",MAX(0,MIN(30,$J127+$K127+$L127)))</x:f>
      </x:c>
      <x:c r="R127" s="17">
        <x:f>IF($B127="","",MAX(0,MIN(30,$M127+$N127+$O127)))</x:f>
      </x:c>
      <x:c r="S127" s="17">
        <x:f>IF($B127="","",$P127+$Q127+$R127)</x:f>
      </x:c>
      <x:c r="T127" s="17">
        <x:f>IF($S127="","",IF($S127&gt;=90,"A+",IF($S127&gt;=80,"A",IF($S127&gt;=70,"B",IF($S127&gt;=60,"C","D")))))</x:f>
      </x:c>
      <x:c r="U127" s="17">
        <x:f>IF($T127="","",IF($T127="A+","正常合作 / 维持额度",IF($T127="A","正常合作 / 关注回款",IF($T127="B","控制新增赊销",IF($T127="C","降低额度 / 缩短账期","停供评估 / 法务关注")))))</x:f>
      </x:c>
      <x:c r="V127" s="13" t="n"/>
      <x:c r="W127" s="12" t="n"/>
    </x:row>
    <x:row r="128">
      <x:c r="A128" s="12" t="n"/>
      <x:c r="B128" s="12" t="n"/>
      <x:c r="C128" s="12" t="n"/>
      <x:c r="D128" s="12" t="n"/>
      <x:c r="E128" s="12" t="n"/>
      <x:c r="F128" s="12" t="n"/>
      <x:c r="G128" s="12" t="n"/>
      <x:c r="H128" s="12" t="n"/>
      <x:c r="I128" s="12" t="n"/>
      <x:c r="J128" s="12" t="n"/>
      <x:c r="K128" s="12" t="n"/>
      <x:c r="L128" s="12" t="n"/>
      <x:c r="M128" s="12" t="n"/>
      <x:c r="N128" s="12" t="n"/>
      <x:c r="O128" s="12" t="n"/>
      <x:c r="P128" s="17">
        <x:f>IF($B128="","",MAX(0,40-$D128*Params!$B$2-$E128*Params!$B$3-IF($F128="是",Params!$B$4,0)-IF($G128="是",Params!$B$5,0)-IF($H128&gt;=1,Params!$B$6,0)-IF($I128&gt;90,Params!$B$8,IF($I128&gt;60,Params!$B$7,0))))</x:f>
      </x:c>
      <x:c r="Q128" s="17">
        <x:f>IF($B128="","",MAX(0,MIN(30,$J128+$K128+$L128)))</x:f>
      </x:c>
      <x:c r="R128" s="17">
        <x:f>IF($B128="","",MAX(0,MIN(30,$M128+$N128+$O128)))</x:f>
      </x:c>
      <x:c r="S128" s="17">
        <x:f>IF($B128="","",$P128+$Q128+$R128)</x:f>
      </x:c>
      <x:c r="T128" s="17">
        <x:f>IF($S128="","",IF($S128&gt;=90,"A+",IF($S128&gt;=80,"A",IF($S128&gt;=70,"B",IF($S128&gt;=60,"C","D")))))</x:f>
      </x:c>
      <x:c r="U128" s="17">
        <x:f>IF($T128="","",IF($T128="A+","正常合作 / 维持额度",IF($T128="A","正常合作 / 关注回款",IF($T128="B","控制新增赊销",IF($T128="C","降低额度 / 缩短账期","停供评估 / 法务关注")))))</x:f>
      </x:c>
      <x:c r="V128" s="13" t="n"/>
      <x:c r="W128" s="12" t="n"/>
    </x:row>
    <x:row r="129">
      <x:c r="A129" s="12" t="n"/>
      <x:c r="B129" s="12" t="n"/>
      <x:c r="C129" s="12" t="n"/>
      <x:c r="D129" s="12" t="n"/>
      <x:c r="E129" s="12" t="n"/>
      <x:c r="F129" s="12" t="n"/>
      <x:c r="G129" s="12" t="n"/>
      <x:c r="H129" s="12" t="n"/>
      <x:c r="I129" s="12" t="n"/>
      <x:c r="J129" s="12" t="n"/>
      <x:c r="K129" s="12" t="n"/>
      <x:c r="L129" s="12" t="n"/>
      <x:c r="M129" s="12" t="n"/>
      <x:c r="N129" s="12" t="n"/>
      <x:c r="O129" s="12" t="n"/>
      <x:c r="P129" s="17">
        <x:f>IF($B129="","",MAX(0,40-$D129*Params!$B$2-$E129*Params!$B$3-IF($F129="是",Params!$B$4,0)-IF($G129="是",Params!$B$5,0)-IF($H129&gt;=1,Params!$B$6,0)-IF($I129&gt;90,Params!$B$8,IF($I129&gt;60,Params!$B$7,0))))</x:f>
      </x:c>
      <x:c r="Q129" s="17">
        <x:f>IF($B129="","",MAX(0,MIN(30,$J129+$K129+$L129)))</x:f>
      </x:c>
      <x:c r="R129" s="17">
        <x:f>IF($B129="","",MAX(0,MIN(30,$M129+$N129+$O129)))</x:f>
      </x:c>
      <x:c r="S129" s="17">
        <x:f>IF($B129="","",$P129+$Q129+$R129)</x:f>
      </x:c>
      <x:c r="T129" s="17">
        <x:f>IF($S129="","",IF($S129&gt;=90,"A+",IF($S129&gt;=80,"A",IF($S129&gt;=70,"B",IF($S129&gt;=60,"C","D")))))</x:f>
      </x:c>
      <x:c r="U129" s="17">
        <x:f>IF($T129="","",IF($T129="A+","正常合作 / 维持额度",IF($T129="A","正常合作 / 关注回款",IF($T129="B","控制新增赊销",IF($T129="C","降低额度 / 缩短账期","停供评估 / 法务关注")))))</x:f>
      </x:c>
      <x:c r="V129" s="13" t="n"/>
      <x:c r="W129" s="12" t="n"/>
    </x:row>
    <x:row r="130">
      <x:c r="A130" s="12" t="n"/>
      <x:c r="B130" s="12" t="n"/>
      <x:c r="C130" s="12" t="n"/>
      <x:c r="D130" s="12" t="n"/>
      <x:c r="E130" s="12" t="n"/>
      <x:c r="F130" s="12" t="n"/>
      <x:c r="G130" s="12" t="n"/>
      <x:c r="H130" s="12" t="n"/>
      <x:c r="I130" s="12" t="n"/>
      <x:c r="J130" s="12" t="n"/>
      <x:c r="K130" s="12" t="n"/>
      <x:c r="L130" s="12" t="n"/>
      <x:c r="M130" s="12" t="n"/>
      <x:c r="N130" s="12" t="n"/>
      <x:c r="O130" s="12" t="n"/>
      <x:c r="P130" s="17">
        <x:f>IF($B130="","",MAX(0,40-$D130*Params!$B$2-$E130*Params!$B$3-IF($F130="是",Params!$B$4,0)-IF($G130="是",Params!$B$5,0)-IF($H130&gt;=1,Params!$B$6,0)-IF($I130&gt;90,Params!$B$8,IF($I130&gt;60,Params!$B$7,0))))</x:f>
      </x:c>
      <x:c r="Q130" s="17">
        <x:f>IF($B130="","",MAX(0,MIN(30,$J130+$K130+$L130)))</x:f>
      </x:c>
      <x:c r="R130" s="17">
        <x:f>IF($B130="","",MAX(0,MIN(30,$M130+$N130+$O130)))</x:f>
      </x:c>
      <x:c r="S130" s="17">
        <x:f>IF($B130="","",$P130+$Q130+$R130)</x:f>
      </x:c>
      <x:c r="T130" s="17">
        <x:f>IF($S130="","",IF($S130&gt;=90,"A+",IF($S130&gt;=80,"A",IF($S130&gt;=70,"B",IF($S130&gt;=60,"C","D")))))</x:f>
      </x:c>
      <x:c r="U130" s="17">
        <x:f>IF($T130="","",IF($T130="A+","正常合作 / 维持额度",IF($T130="A","正常合作 / 关注回款",IF($T130="B","控制新增赊销",IF($T130="C","降低额度 / 缩短账期","停供评估 / 法务关注")))))</x:f>
      </x:c>
      <x:c r="V130" s="13" t="n"/>
      <x:c r="W130" s="12" t="n"/>
    </x:row>
    <x:row r="131">
      <x:c r="A131" s="12" t="n"/>
      <x:c r="B131" s="12" t="n"/>
      <x:c r="C131" s="12" t="n"/>
      <x:c r="D131" s="12" t="n"/>
      <x:c r="E131" s="12" t="n"/>
      <x:c r="F131" s="12" t="n"/>
      <x:c r="G131" s="12" t="n"/>
      <x:c r="H131" s="12" t="n"/>
      <x:c r="I131" s="12" t="n"/>
      <x:c r="J131" s="12" t="n"/>
      <x:c r="K131" s="12" t="n"/>
      <x:c r="L131" s="12" t="n"/>
      <x:c r="M131" s="12" t="n"/>
      <x:c r="N131" s="12" t="n"/>
      <x:c r="O131" s="12" t="n"/>
      <x:c r="P131" s="17">
        <x:f>IF($B131="","",MAX(0,40-$D131*Params!$B$2-$E131*Params!$B$3-IF($F131="是",Params!$B$4,0)-IF($G131="是",Params!$B$5,0)-IF($H131&gt;=1,Params!$B$6,0)-IF($I131&gt;90,Params!$B$8,IF($I131&gt;60,Params!$B$7,0))))</x:f>
      </x:c>
      <x:c r="Q131" s="17">
        <x:f>IF($B131="","",MAX(0,MIN(30,$J131+$K131+$L131)))</x:f>
      </x:c>
      <x:c r="R131" s="17">
        <x:f>IF($B131="","",MAX(0,MIN(30,$M131+$N131+$O131)))</x:f>
      </x:c>
      <x:c r="S131" s="17">
        <x:f>IF($B131="","",$P131+$Q131+$R131)</x:f>
      </x:c>
      <x:c r="T131" s="17">
        <x:f>IF($S131="","",IF($S131&gt;=90,"A+",IF($S131&gt;=80,"A",IF($S131&gt;=70,"B",IF($S131&gt;=60,"C","D")))))</x:f>
      </x:c>
      <x:c r="U131" s="17">
        <x:f>IF($T131="","",IF($T131="A+","正常合作 / 维持额度",IF($T131="A","正常合作 / 关注回款",IF($T131="B","控制新增赊销",IF($T131="C","降低额度 / 缩短账期","停供评估 / 法务关注")))))</x:f>
      </x:c>
      <x:c r="V131" s="13" t="n"/>
      <x:c r="W131" s="12" t="n"/>
    </x:row>
    <x:row r="132">
      <x:c r="A132" s="12" t="n"/>
      <x:c r="B132" s="12" t="n"/>
      <x:c r="C132" s="12" t="n"/>
      <x:c r="D132" s="12" t="n"/>
      <x:c r="E132" s="12" t="n"/>
      <x:c r="F132" s="12" t="n"/>
      <x:c r="G132" s="12" t="n"/>
      <x:c r="H132" s="12" t="n"/>
      <x:c r="I132" s="12" t="n"/>
      <x:c r="J132" s="12" t="n"/>
      <x:c r="K132" s="12" t="n"/>
      <x:c r="L132" s="12" t="n"/>
      <x:c r="M132" s="12" t="n"/>
      <x:c r="N132" s="12" t="n"/>
      <x:c r="O132" s="12" t="n"/>
      <x:c r="P132" s="17">
        <x:f>IF($B132="","",MAX(0,40-$D132*Params!$B$2-$E132*Params!$B$3-IF($F132="是",Params!$B$4,0)-IF($G132="是",Params!$B$5,0)-IF($H132&gt;=1,Params!$B$6,0)-IF($I132&gt;90,Params!$B$8,IF($I132&gt;60,Params!$B$7,0))))</x:f>
      </x:c>
      <x:c r="Q132" s="17">
        <x:f>IF($B132="","",MAX(0,MIN(30,$J132+$K132+$L132)))</x:f>
      </x:c>
      <x:c r="R132" s="17">
        <x:f>IF($B132="","",MAX(0,MIN(30,$M132+$N132+$O132)))</x:f>
      </x:c>
      <x:c r="S132" s="17">
        <x:f>IF($B132="","",$P132+$Q132+$R132)</x:f>
      </x:c>
      <x:c r="T132" s="17">
        <x:f>IF($S132="","",IF($S132&gt;=90,"A+",IF($S132&gt;=80,"A",IF($S132&gt;=70,"B",IF($S132&gt;=60,"C","D")))))</x:f>
      </x:c>
      <x:c r="U132" s="17">
        <x:f>IF($T132="","",IF($T132="A+","正常合作 / 维持额度",IF($T132="A","正常合作 / 关注回款",IF($T132="B","控制新增赊销",IF($T132="C","降低额度 / 缩短账期","停供评估 / 法务关注")))))</x:f>
      </x:c>
      <x:c r="V132" s="13" t="n"/>
      <x:c r="W132" s="12" t="n"/>
    </x:row>
    <x:row r="133">
      <x:c r="A133" s="12" t="n"/>
      <x:c r="B133" s="12" t="n"/>
      <x:c r="C133" s="12" t="n"/>
      <x:c r="D133" s="12" t="n"/>
      <x:c r="E133" s="12" t="n"/>
      <x:c r="F133" s="12" t="n"/>
      <x:c r="G133" s="12" t="n"/>
      <x:c r="H133" s="12" t="n"/>
      <x:c r="I133" s="12" t="n"/>
      <x:c r="J133" s="12" t="n"/>
      <x:c r="K133" s="12" t="n"/>
      <x:c r="L133" s="12" t="n"/>
      <x:c r="M133" s="12" t="n"/>
      <x:c r="N133" s="12" t="n"/>
      <x:c r="O133" s="12" t="n"/>
      <x:c r="P133" s="17">
        <x:f>IF($B133="","",MAX(0,40-$D133*Params!$B$2-$E133*Params!$B$3-IF($F133="是",Params!$B$4,0)-IF($G133="是",Params!$B$5,0)-IF($H133&gt;=1,Params!$B$6,0)-IF($I133&gt;90,Params!$B$8,IF($I133&gt;60,Params!$B$7,0))))</x:f>
      </x:c>
      <x:c r="Q133" s="17">
        <x:f>IF($B133="","",MAX(0,MIN(30,$J133+$K133+$L133)))</x:f>
      </x:c>
      <x:c r="R133" s="17">
        <x:f>IF($B133="","",MAX(0,MIN(30,$M133+$N133+$O133)))</x:f>
      </x:c>
      <x:c r="S133" s="17">
        <x:f>IF($B133="","",$P133+$Q133+$R133)</x:f>
      </x:c>
      <x:c r="T133" s="17">
        <x:f>IF($S133="","",IF($S133&gt;=90,"A+",IF($S133&gt;=80,"A",IF($S133&gt;=70,"B",IF($S133&gt;=60,"C","D")))))</x:f>
      </x:c>
      <x:c r="U133" s="17">
        <x:f>IF($T133="","",IF($T133="A+","正常合作 / 维持额度",IF($T133="A","正常合作 / 关注回款",IF($T133="B","控制新增赊销",IF($T133="C","降低额度 / 缩短账期","停供评估 / 法务关注")))))</x:f>
      </x:c>
      <x:c r="V133" s="13" t="n"/>
      <x:c r="W133" s="12" t="n"/>
    </x:row>
    <x:row r="134">
      <x:c r="A134" s="12" t="n"/>
      <x:c r="B134" s="12" t="n"/>
      <x:c r="C134" s="12" t="n"/>
      <x:c r="D134" s="12" t="n"/>
      <x:c r="E134" s="12" t="n"/>
      <x:c r="F134" s="12" t="n"/>
      <x:c r="G134" s="12" t="n"/>
      <x:c r="H134" s="12" t="n"/>
      <x:c r="I134" s="12" t="n"/>
      <x:c r="J134" s="12" t="n"/>
      <x:c r="K134" s="12" t="n"/>
      <x:c r="L134" s="12" t="n"/>
      <x:c r="M134" s="12" t="n"/>
      <x:c r="N134" s="12" t="n"/>
      <x:c r="O134" s="12" t="n"/>
      <x:c r="P134" s="17">
        <x:f>IF($B134="","",MAX(0,40-$D134*Params!$B$2-$E134*Params!$B$3-IF($F134="是",Params!$B$4,0)-IF($G134="是",Params!$B$5,0)-IF($H134&gt;=1,Params!$B$6,0)-IF($I134&gt;90,Params!$B$8,IF($I134&gt;60,Params!$B$7,0))))</x:f>
      </x:c>
      <x:c r="Q134" s="17">
        <x:f>IF($B134="","",MAX(0,MIN(30,$J134+$K134+$L134)))</x:f>
      </x:c>
      <x:c r="R134" s="17">
        <x:f>IF($B134="","",MAX(0,MIN(30,$M134+$N134+$O134)))</x:f>
      </x:c>
      <x:c r="S134" s="17">
        <x:f>IF($B134="","",$P134+$Q134+$R134)</x:f>
      </x:c>
      <x:c r="T134" s="17">
        <x:f>IF($S134="","",IF($S134&gt;=90,"A+",IF($S134&gt;=80,"A",IF($S134&gt;=70,"B",IF($S134&gt;=60,"C","D")))))</x:f>
      </x:c>
      <x:c r="U134" s="17">
        <x:f>IF($T134="","",IF($T134="A+","正常合作 / 维持额度",IF($T134="A","正常合作 / 关注回款",IF($T134="B","控制新增赊销",IF($T134="C","降低额度 / 缩短账期","停供评估 / 法务关注")))))</x:f>
      </x:c>
      <x:c r="V134" s="13" t="n"/>
      <x:c r="W134" s="12" t="n"/>
    </x:row>
    <x:row r="135">
      <x:c r="A135" s="12" t="n"/>
      <x:c r="B135" s="12" t="n"/>
      <x:c r="C135" s="12" t="n"/>
      <x:c r="D135" s="12" t="n"/>
      <x:c r="E135" s="12" t="n"/>
      <x:c r="F135" s="12" t="n"/>
      <x:c r="G135" s="12" t="n"/>
      <x:c r="H135" s="12" t="n"/>
      <x:c r="I135" s="12" t="n"/>
      <x:c r="J135" s="12" t="n"/>
      <x:c r="K135" s="12" t="n"/>
      <x:c r="L135" s="12" t="n"/>
      <x:c r="M135" s="12" t="n"/>
      <x:c r="N135" s="12" t="n"/>
      <x:c r="O135" s="12" t="n"/>
      <x:c r="P135" s="17">
        <x:f>IF($B135="","",MAX(0,40-$D135*Params!$B$2-$E135*Params!$B$3-IF($F135="是",Params!$B$4,0)-IF($G135="是",Params!$B$5,0)-IF($H135&gt;=1,Params!$B$6,0)-IF($I135&gt;90,Params!$B$8,IF($I135&gt;60,Params!$B$7,0))))</x:f>
      </x:c>
      <x:c r="Q135" s="17">
        <x:f>IF($B135="","",MAX(0,MIN(30,$J135+$K135+$L135)))</x:f>
      </x:c>
      <x:c r="R135" s="17">
        <x:f>IF($B135="","",MAX(0,MIN(30,$M135+$N135+$O135)))</x:f>
      </x:c>
      <x:c r="S135" s="17">
        <x:f>IF($B135="","",$P135+$Q135+$R135)</x:f>
      </x:c>
      <x:c r="T135" s="17">
        <x:f>IF($S135="","",IF($S135&gt;=90,"A+",IF($S135&gt;=80,"A",IF($S135&gt;=70,"B",IF($S135&gt;=60,"C","D")))))</x:f>
      </x:c>
      <x:c r="U135" s="17">
        <x:f>IF($T135="","",IF($T135="A+","正常合作 / 维持额度",IF($T135="A","正常合作 / 关注回款",IF($T135="B","控制新增赊销",IF($T135="C","降低额度 / 缩短账期","停供评估 / 法务关注")))))</x:f>
      </x:c>
      <x:c r="V135" s="13" t="n"/>
      <x:c r="W135" s="12" t="n"/>
    </x:row>
    <x:row r="136">
      <x:c r="A136" s="12" t="n"/>
      <x:c r="B136" s="12" t="n"/>
      <x:c r="C136" s="12" t="n"/>
      <x:c r="D136" s="12" t="n"/>
      <x:c r="E136" s="12" t="n"/>
      <x:c r="F136" s="12" t="n"/>
      <x:c r="G136" s="12" t="n"/>
      <x:c r="H136" s="12" t="n"/>
      <x:c r="I136" s="12" t="n"/>
      <x:c r="J136" s="12" t="n"/>
      <x:c r="K136" s="12" t="n"/>
      <x:c r="L136" s="12" t="n"/>
      <x:c r="M136" s="12" t="n"/>
      <x:c r="N136" s="12" t="n"/>
      <x:c r="O136" s="12" t="n"/>
      <x:c r="P136" s="17">
        <x:f>IF($B136="","",MAX(0,40-$D136*Params!$B$2-$E136*Params!$B$3-IF($F136="是",Params!$B$4,0)-IF($G136="是",Params!$B$5,0)-IF($H136&gt;=1,Params!$B$6,0)-IF($I136&gt;90,Params!$B$8,IF($I136&gt;60,Params!$B$7,0))))</x:f>
      </x:c>
      <x:c r="Q136" s="17">
        <x:f>IF($B136="","",MAX(0,MIN(30,$J136+$K136+$L136)))</x:f>
      </x:c>
      <x:c r="R136" s="17">
        <x:f>IF($B136="","",MAX(0,MIN(30,$M136+$N136+$O136)))</x:f>
      </x:c>
      <x:c r="S136" s="17">
        <x:f>IF($B136="","",$P136+$Q136+$R136)</x:f>
      </x:c>
      <x:c r="T136" s="17">
        <x:f>IF($S136="","",IF($S136&gt;=90,"A+",IF($S136&gt;=80,"A",IF($S136&gt;=70,"B",IF($S136&gt;=60,"C","D")))))</x:f>
      </x:c>
      <x:c r="U136" s="17">
        <x:f>IF($T136="","",IF($T136="A+","正常合作 / 维持额度",IF($T136="A","正常合作 / 关注回款",IF($T136="B","控制新增赊销",IF($T136="C","降低额度 / 缩短账期","停供评估 / 法务关注")))))</x:f>
      </x:c>
      <x:c r="V136" s="13" t="n"/>
      <x:c r="W136" s="12" t="n"/>
    </x:row>
    <x:row r="137">
      <x:c r="A137" s="12" t="n"/>
      <x:c r="B137" s="12" t="n"/>
      <x:c r="C137" s="12" t="n"/>
      <x:c r="D137" s="12" t="n"/>
      <x:c r="E137" s="12" t="n"/>
      <x:c r="F137" s="12" t="n"/>
      <x:c r="G137" s="12" t="n"/>
      <x:c r="H137" s="12" t="n"/>
      <x:c r="I137" s="12" t="n"/>
      <x:c r="J137" s="12" t="n"/>
      <x:c r="K137" s="12" t="n"/>
      <x:c r="L137" s="12" t="n"/>
      <x:c r="M137" s="12" t="n"/>
      <x:c r="N137" s="12" t="n"/>
      <x:c r="O137" s="12" t="n"/>
      <x:c r="P137" s="17">
        <x:f>IF($B137="","",MAX(0,40-$D137*Params!$B$2-$E137*Params!$B$3-IF($F137="是",Params!$B$4,0)-IF($G137="是",Params!$B$5,0)-IF($H137&gt;=1,Params!$B$6,0)-IF($I137&gt;90,Params!$B$8,IF($I137&gt;60,Params!$B$7,0))))</x:f>
      </x:c>
      <x:c r="Q137" s="17">
        <x:f>IF($B137="","",MAX(0,MIN(30,$J137+$K137+$L137)))</x:f>
      </x:c>
      <x:c r="R137" s="17">
        <x:f>IF($B137="","",MAX(0,MIN(30,$M137+$N137+$O137)))</x:f>
      </x:c>
      <x:c r="S137" s="17">
        <x:f>IF($B137="","",$P137+$Q137+$R137)</x:f>
      </x:c>
      <x:c r="T137" s="17">
        <x:f>IF($S137="","",IF($S137&gt;=90,"A+",IF($S137&gt;=80,"A",IF($S137&gt;=70,"B",IF($S137&gt;=60,"C","D")))))</x:f>
      </x:c>
      <x:c r="U137" s="17">
        <x:f>IF($T137="","",IF($T137="A+","正常合作 / 维持额度",IF($T137="A","正常合作 / 关注回款",IF($T137="B","控制新增赊销",IF($T137="C","降低额度 / 缩短账期","停供评估 / 法务关注")))))</x:f>
      </x:c>
      <x:c r="V137" s="13" t="n"/>
      <x:c r="W137" s="12" t="n"/>
    </x:row>
    <x:row r="138">
      <x:c r="A138" s="12" t="n"/>
      <x:c r="B138" s="12" t="n"/>
      <x:c r="C138" s="12" t="n"/>
      <x:c r="D138" s="12" t="n"/>
      <x:c r="E138" s="12" t="n"/>
      <x:c r="F138" s="12" t="n"/>
      <x:c r="G138" s="12" t="n"/>
      <x:c r="H138" s="12" t="n"/>
      <x:c r="I138" s="12" t="n"/>
      <x:c r="J138" s="12" t="n"/>
      <x:c r="K138" s="12" t="n"/>
      <x:c r="L138" s="12" t="n"/>
      <x:c r="M138" s="12" t="n"/>
      <x:c r="N138" s="12" t="n"/>
      <x:c r="O138" s="12" t="n"/>
      <x:c r="P138" s="17">
        <x:f>IF($B138="","",MAX(0,40-$D138*Params!$B$2-$E138*Params!$B$3-IF($F138="是",Params!$B$4,0)-IF($G138="是",Params!$B$5,0)-IF($H138&gt;=1,Params!$B$6,0)-IF($I138&gt;90,Params!$B$8,IF($I138&gt;60,Params!$B$7,0))))</x:f>
      </x:c>
      <x:c r="Q138" s="17">
        <x:f>IF($B138="","",MAX(0,MIN(30,$J138+$K138+$L138)))</x:f>
      </x:c>
      <x:c r="R138" s="17">
        <x:f>IF($B138="","",MAX(0,MIN(30,$M138+$N138+$O138)))</x:f>
      </x:c>
      <x:c r="S138" s="17">
        <x:f>IF($B138="","",$P138+$Q138+$R138)</x:f>
      </x:c>
      <x:c r="T138" s="17">
        <x:f>IF($S138="","",IF($S138&gt;=90,"A+",IF($S138&gt;=80,"A",IF($S138&gt;=70,"B",IF($S138&gt;=60,"C","D")))))</x:f>
      </x:c>
      <x:c r="U138" s="17">
        <x:f>IF($T138="","",IF($T138="A+","正常合作 / 维持额度",IF($T138="A","正常合作 / 关注回款",IF($T138="B","控制新增赊销",IF($T138="C","降低额度 / 缩短账期","停供评估 / 法务关注")))))</x:f>
      </x:c>
      <x:c r="V138" s="13" t="n"/>
      <x:c r="W138" s="12" t="n"/>
    </x:row>
    <x:row r="139">
      <x:c r="A139" s="12" t="n"/>
      <x:c r="B139" s="12" t="n"/>
      <x:c r="C139" s="12" t="n"/>
      <x:c r="D139" s="12" t="n"/>
      <x:c r="E139" s="12" t="n"/>
      <x:c r="F139" s="12" t="n"/>
      <x:c r="G139" s="12" t="n"/>
      <x:c r="H139" s="12" t="n"/>
      <x:c r="I139" s="12" t="n"/>
      <x:c r="J139" s="12" t="n"/>
      <x:c r="K139" s="12" t="n"/>
      <x:c r="L139" s="12" t="n"/>
      <x:c r="M139" s="12" t="n"/>
      <x:c r="N139" s="12" t="n"/>
      <x:c r="O139" s="12" t="n"/>
      <x:c r="P139" s="17">
        <x:f>IF($B139="","",MAX(0,40-$D139*Params!$B$2-$E139*Params!$B$3-IF($F139="是",Params!$B$4,0)-IF($G139="是",Params!$B$5,0)-IF($H139&gt;=1,Params!$B$6,0)-IF($I139&gt;90,Params!$B$8,IF($I139&gt;60,Params!$B$7,0))))</x:f>
      </x:c>
      <x:c r="Q139" s="17">
        <x:f>IF($B139="","",MAX(0,MIN(30,$J139+$K139+$L139)))</x:f>
      </x:c>
      <x:c r="R139" s="17">
        <x:f>IF($B139="","",MAX(0,MIN(30,$M139+$N139+$O139)))</x:f>
      </x:c>
      <x:c r="S139" s="17">
        <x:f>IF($B139="","",$P139+$Q139+$R139)</x:f>
      </x:c>
      <x:c r="T139" s="17">
        <x:f>IF($S139="","",IF($S139&gt;=90,"A+",IF($S139&gt;=80,"A",IF($S139&gt;=70,"B",IF($S139&gt;=60,"C","D")))))</x:f>
      </x:c>
      <x:c r="U139" s="17">
        <x:f>IF($T139="","",IF($T139="A+","正常合作 / 维持额度",IF($T139="A","正常合作 / 关注回款",IF($T139="B","控制新增赊销",IF($T139="C","降低额度 / 缩短账期","停供评估 / 法务关注")))))</x:f>
      </x:c>
      <x:c r="V139" s="13" t="n"/>
      <x:c r="W139" s="12" t="n"/>
    </x:row>
    <x:row r="140">
      <x:c r="A140" s="12" t="n"/>
      <x:c r="B140" s="12" t="n"/>
      <x:c r="C140" s="12" t="n"/>
      <x:c r="D140" s="12" t="n"/>
      <x:c r="E140" s="12" t="n"/>
      <x:c r="F140" s="12" t="n"/>
      <x:c r="G140" s="12" t="n"/>
      <x:c r="H140" s="12" t="n"/>
      <x:c r="I140" s="12" t="n"/>
      <x:c r="J140" s="12" t="n"/>
      <x:c r="K140" s="12" t="n"/>
      <x:c r="L140" s="12" t="n"/>
      <x:c r="M140" s="12" t="n"/>
      <x:c r="N140" s="12" t="n"/>
      <x:c r="O140" s="12" t="n"/>
      <x:c r="P140" s="17">
        <x:f>IF($B140="","",MAX(0,40-$D140*Params!$B$2-$E140*Params!$B$3-IF($F140="是",Params!$B$4,0)-IF($G140="是",Params!$B$5,0)-IF($H140&gt;=1,Params!$B$6,0)-IF($I140&gt;90,Params!$B$8,IF($I140&gt;60,Params!$B$7,0))))</x:f>
      </x:c>
      <x:c r="Q140" s="17">
        <x:f>IF($B140="","",MAX(0,MIN(30,$J140+$K140+$L140)))</x:f>
      </x:c>
      <x:c r="R140" s="17">
        <x:f>IF($B140="","",MAX(0,MIN(30,$M140+$N140+$O140)))</x:f>
      </x:c>
      <x:c r="S140" s="17">
        <x:f>IF($B140="","",$P140+$Q140+$R140)</x:f>
      </x:c>
      <x:c r="T140" s="17">
        <x:f>IF($S140="","",IF($S140&gt;=90,"A+",IF($S140&gt;=80,"A",IF($S140&gt;=70,"B",IF($S140&gt;=60,"C","D")))))</x:f>
      </x:c>
      <x:c r="U140" s="17">
        <x:f>IF($T140="","",IF($T140="A+","正常合作 / 维持额度",IF($T140="A","正常合作 / 关注回款",IF($T140="B","控制新增赊销",IF($T140="C","降低额度 / 缩短账期","停供评估 / 法务关注")))))</x:f>
      </x:c>
      <x:c r="V140" s="13" t="n"/>
      <x:c r="W140" s="12" t="n"/>
    </x:row>
    <x:row r="141">
      <x:c r="A141" s="12" t="n"/>
      <x:c r="B141" s="12" t="n"/>
      <x:c r="C141" s="12" t="n"/>
      <x:c r="D141" s="12" t="n"/>
      <x:c r="E141" s="12" t="n"/>
      <x:c r="F141" s="12" t="n"/>
      <x:c r="G141" s="12" t="n"/>
      <x:c r="H141" s="12" t="n"/>
      <x:c r="I141" s="12" t="n"/>
      <x:c r="J141" s="12" t="n"/>
      <x:c r="K141" s="12" t="n"/>
      <x:c r="L141" s="12" t="n"/>
      <x:c r="M141" s="12" t="n"/>
      <x:c r="N141" s="12" t="n"/>
      <x:c r="O141" s="12" t="n"/>
      <x:c r="P141" s="17">
        <x:f>IF($B141="","",MAX(0,40-$D141*Params!$B$2-$E141*Params!$B$3-IF($F141="是",Params!$B$4,0)-IF($G141="是",Params!$B$5,0)-IF($H141&gt;=1,Params!$B$6,0)-IF($I141&gt;90,Params!$B$8,IF($I141&gt;60,Params!$B$7,0))))</x:f>
      </x:c>
      <x:c r="Q141" s="17">
        <x:f>IF($B141="","",MAX(0,MIN(30,$J141+$K141+$L141)))</x:f>
      </x:c>
      <x:c r="R141" s="17">
        <x:f>IF($B141="","",MAX(0,MIN(30,$M141+$N141+$O141)))</x:f>
      </x:c>
      <x:c r="S141" s="17">
        <x:f>IF($B141="","",$P141+$Q141+$R141)</x:f>
      </x:c>
      <x:c r="T141" s="17">
        <x:f>IF($S141="","",IF($S141&gt;=90,"A+",IF($S141&gt;=80,"A",IF($S141&gt;=70,"B",IF($S141&gt;=60,"C","D")))))</x:f>
      </x:c>
      <x:c r="U141" s="17">
        <x:f>IF($T141="","",IF($T141="A+","正常合作 / 维持额度",IF($T141="A","正常合作 / 关注回款",IF($T141="B","控制新增赊销",IF($T141="C","降低额度 / 缩短账期","停供评估 / 法务关注")))))</x:f>
      </x:c>
      <x:c r="V141" s="13" t="n"/>
      <x:c r="W141" s="12" t="n"/>
    </x:row>
    <x:row r="142">
      <x:c r="A142" s="12" t="n"/>
      <x:c r="B142" s="12" t="n"/>
      <x:c r="C142" s="12" t="n"/>
      <x:c r="D142" s="12" t="n"/>
      <x:c r="E142" s="12" t="n"/>
      <x:c r="F142" s="12" t="n"/>
      <x:c r="G142" s="12" t="n"/>
      <x:c r="H142" s="12" t="n"/>
      <x:c r="I142" s="12" t="n"/>
      <x:c r="J142" s="12" t="n"/>
      <x:c r="K142" s="12" t="n"/>
      <x:c r="L142" s="12" t="n"/>
      <x:c r="M142" s="12" t="n"/>
      <x:c r="N142" s="12" t="n"/>
      <x:c r="O142" s="12" t="n"/>
      <x:c r="P142" s="17">
        <x:f>IF($B142="","",MAX(0,40-$D142*Params!$B$2-$E142*Params!$B$3-IF($F142="是",Params!$B$4,0)-IF($G142="是",Params!$B$5,0)-IF($H142&gt;=1,Params!$B$6,0)-IF($I142&gt;90,Params!$B$8,IF($I142&gt;60,Params!$B$7,0))))</x:f>
      </x:c>
      <x:c r="Q142" s="17">
        <x:f>IF($B142="","",MAX(0,MIN(30,$J142+$K142+$L142)))</x:f>
      </x:c>
      <x:c r="R142" s="17">
        <x:f>IF($B142="","",MAX(0,MIN(30,$M142+$N142+$O142)))</x:f>
      </x:c>
      <x:c r="S142" s="17">
        <x:f>IF($B142="","",$P142+$Q142+$R142)</x:f>
      </x:c>
      <x:c r="T142" s="17">
        <x:f>IF($S142="","",IF($S142&gt;=90,"A+",IF($S142&gt;=80,"A",IF($S142&gt;=70,"B",IF($S142&gt;=60,"C","D")))))</x:f>
      </x:c>
      <x:c r="U142" s="17">
        <x:f>IF($T142="","",IF($T142="A+","正常合作 / 维持额度",IF($T142="A","正常合作 / 关注回款",IF($T142="B","控制新增赊销",IF($T142="C","降低额度 / 缩短账期","停供评估 / 法务关注")))))</x:f>
      </x:c>
      <x:c r="V142" s="13" t="n"/>
      <x:c r="W142" s="12" t="n"/>
    </x:row>
    <x:row r="143">
      <x:c r="A143" s="12" t="n"/>
      <x:c r="B143" s="12" t="n"/>
      <x:c r="C143" s="12" t="n"/>
      <x:c r="D143" s="12" t="n"/>
      <x:c r="E143" s="12" t="n"/>
      <x:c r="F143" s="12" t="n"/>
      <x:c r="G143" s="12" t="n"/>
      <x:c r="H143" s="12" t="n"/>
      <x:c r="I143" s="12" t="n"/>
      <x:c r="J143" s="12" t="n"/>
      <x:c r="K143" s="12" t="n"/>
      <x:c r="L143" s="12" t="n"/>
      <x:c r="M143" s="12" t="n"/>
      <x:c r="N143" s="12" t="n"/>
      <x:c r="O143" s="12" t="n"/>
      <x:c r="P143" s="17">
        <x:f>IF($B143="","",MAX(0,40-$D143*Params!$B$2-$E143*Params!$B$3-IF($F143="是",Params!$B$4,0)-IF($G143="是",Params!$B$5,0)-IF($H143&gt;=1,Params!$B$6,0)-IF($I143&gt;90,Params!$B$8,IF($I143&gt;60,Params!$B$7,0))))</x:f>
      </x:c>
      <x:c r="Q143" s="17">
        <x:f>IF($B143="","",MAX(0,MIN(30,$J143+$K143+$L143)))</x:f>
      </x:c>
      <x:c r="R143" s="17">
        <x:f>IF($B143="","",MAX(0,MIN(30,$M143+$N143+$O143)))</x:f>
      </x:c>
      <x:c r="S143" s="17">
        <x:f>IF($B143="","",$P143+$Q143+$R143)</x:f>
      </x:c>
      <x:c r="T143" s="17">
        <x:f>IF($S143="","",IF($S143&gt;=90,"A+",IF($S143&gt;=80,"A",IF($S143&gt;=70,"B",IF($S143&gt;=60,"C","D")))))</x:f>
      </x:c>
      <x:c r="U143" s="17">
        <x:f>IF($T143="","",IF($T143="A+","正常合作 / 维持额度",IF($T143="A","正常合作 / 关注回款",IF($T143="B","控制新增赊销",IF($T143="C","降低额度 / 缩短账期","停供评估 / 法务关注")))))</x:f>
      </x:c>
      <x:c r="V143" s="13" t="n"/>
      <x:c r="W143" s="12" t="n"/>
    </x:row>
    <x:row r="144">
      <x:c r="A144" s="12" t="n"/>
      <x:c r="B144" s="12" t="n"/>
      <x:c r="C144" s="12" t="n"/>
      <x:c r="D144" s="12" t="n"/>
      <x:c r="E144" s="12" t="n"/>
      <x:c r="F144" s="12" t="n"/>
      <x:c r="G144" s="12" t="n"/>
      <x:c r="H144" s="12" t="n"/>
      <x:c r="I144" s="12" t="n"/>
      <x:c r="J144" s="12" t="n"/>
      <x:c r="K144" s="12" t="n"/>
      <x:c r="L144" s="12" t="n"/>
      <x:c r="M144" s="12" t="n"/>
      <x:c r="N144" s="12" t="n"/>
      <x:c r="O144" s="12" t="n"/>
      <x:c r="P144" s="17">
        <x:f>IF($B144="","",MAX(0,40-$D144*Params!$B$2-$E144*Params!$B$3-IF($F144="是",Params!$B$4,0)-IF($G144="是",Params!$B$5,0)-IF($H144&gt;=1,Params!$B$6,0)-IF($I144&gt;90,Params!$B$8,IF($I144&gt;60,Params!$B$7,0))))</x:f>
      </x:c>
      <x:c r="Q144" s="17">
        <x:f>IF($B144="","",MAX(0,MIN(30,$J144+$K144+$L144)))</x:f>
      </x:c>
      <x:c r="R144" s="17">
        <x:f>IF($B144="","",MAX(0,MIN(30,$M144+$N144+$O144)))</x:f>
      </x:c>
      <x:c r="S144" s="17">
        <x:f>IF($B144="","",$P144+$Q144+$R144)</x:f>
      </x:c>
      <x:c r="T144" s="17">
        <x:f>IF($S144="","",IF($S144&gt;=90,"A+",IF($S144&gt;=80,"A",IF($S144&gt;=70,"B",IF($S144&gt;=60,"C","D")))))</x:f>
      </x:c>
      <x:c r="U144" s="17">
        <x:f>IF($T144="","",IF($T144="A+","正常合作 / 维持额度",IF($T144="A","正常合作 / 关注回款",IF($T144="B","控制新增赊销",IF($T144="C","降低额度 / 缩短账期","停供评估 / 法务关注")))))</x:f>
      </x:c>
      <x:c r="V144" s="13" t="n"/>
      <x:c r="W144" s="12" t="n"/>
    </x:row>
    <x:row r="145">
      <x:c r="A145" s="12" t="n"/>
      <x:c r="B145" s="12" t="n"/>
      <x:c r="C145" s="12" t="n"/>
      <x:c r="D145" s="12" t="n"/>
      <x:c r="E145" s="12" t="n"/>
      <x:c r="F145" s="12" t="n"/>
      <x:c r="G145" s="12" t="n"/>
      <x:c r="H145" s="12" t="n"/>
      <x:c r="I145" s="12" t="n"/>
      <x:c r="J145" s="12" t="n"/>
      <x:c r="K145" s="12" t="n"/>
      <x:c r="L145" s="12" t="n"/>
      <x:c r="M145" s="12" t="n"/>
      <x:c r="N145" s="12" t="n"/>
      <x:c r="O145" s="12" t="n"/>
      <x:c r="P145" s="17">
        <x:f>IF($B145="","",MAX(0,40-$D145*Params!$B$2-$E145*Params!$B$3-IF($F145="是",Params!$B$4,0)-IF($G145="是",Params!$B$5,0)-IF($H145&gt;=1,Params!$B$6,0)-IF($I145&gt;90,Params!$B$8,IF($I145&gt;60,Params!$B$7,0))))</x:f>
      </x:c>
      <x:c r="Q145" s="17">
        <x:f>IF($B145="","",MAX(0,MIN(30,$J145+$K145+$L145)))</x:f>
      </x:c>
      <x:c r="R145" s="17">
        <x:f>IF($B145="","",MAX(0,MIN(30,$M145+$N145+$O145)))</x:f>
      </x:c>
      <x:c r="S145" s="17">
        <x:f>IF($B145="","",$P145+$Q145+$R145)</x:f>
      </x:c>
      <x:c r="T145" s="17">
        <x:f>IF($S145="","",IF($S145&gt;=90,"A+",IF($S145&gt;=80,"A",IF($S145&gt;=70,"B",IF($S145&gt;=60,"C","D")))))</x:f>
      </x:c>
      <x:c r="U145" s="17">
        <x:f>IF($T145="","",IF($T145="A+","正常合作 / 维持额度",IF($T145="A","正常合作 / 关注回款",IF($T145="B","控制新增赊销",IF($T145="C","降低额度 / 缩短账期","停供评估 / 法务关注")))))</x:f>
      </x:c>
      <x:c r="V145" s="13" t="n"/>
      <x:c r="W145" s="12" t="n"/>
    </x:row>
    <x:row r="146">
      <x:c r="A146" s="12" t="n"/>
      <x:c r="B146" s="12" t="n"/>
      <x:c r="C146" s="12" t="n"/>
      <x:c r="D146" s="12" t="n"/>
      <x:c r="E146" s="12" t="n"/>
      <x:c r="F146" s="12" t="n"/>
      <x:c r="G146" s="12" t="n"/>
      <x:c r="H146" s="12" t="n"/>
      <x:c r="I146" s="12" t="n"/>
      <x:c r="J146" s="12" t="n"/>
      <x:c r="K146" s="12" t="n"/>
      <x:c r="L146" s="12" t="n"/>
      <x:c r="M146" s="12" t="n"/>
      <x:c r="N146" s="12" t="n"/>
      <x:c r="O146" s="12" t="n"/>
      <x:c r="P146" s="17">
        <x:f>IF($B146="","",MAX(0,40-$D146*Params!$B$2-$E146*Params!$B$3-IF($F146="是",Params!$B$4,0)-IF($G146="是",Params!$B$5,0)-IF($H146&gt;=1,Params!$B$6,0)-IF($I146&gt;90,Params!$B$8,IF($I146&gt;60,Params!$B$7,0))))</x:f>
      </x:c>
      <x:c r="Q146" s="17">
        <x:f>IF($B146="","",MAX(0,MIN(30,$J146+$K146+$L146)))</x:f>
      </x:c>
      <x:c r="R146" s="17">
        <x:f>IF($B146="","",MAX(0,MIN(30,$M146+$N146+$O146)))</x:f>
      </x:c>
      <x:c r="S146" s="17">
        <x:f>IF($B146="","",$P146+$Q146+$R146)</x:f>
      </x:c>
      <x:c r="T146" s="17">
        <x:f>IF($S146="","",IF($S146&gt;=90,"A+",IF($S146&gt;=80,"A",IF($S146&gt;=70,"B",IF($S146&gt;=60,"C","D")))))</x:f>
      </x:c>
      <x:c r="U146" s="17">
        <x:f>IF($T146="","",IF($T146="A+","正常合作 / 维持额度",IF($T146="A","正常合作 / 关注回款",IF($T146="B","控制新增赊销",IF($T146="C","降低额度 / 缩短账期","停供评估 / 法务关注")))))</x:f>
      </x:c>
      <x:c r="V146" s="13" t="n"/>
      <x:c r="W146" s="12" t="n"/>
    </x:row>
    <x:row r="147">
      <x:c r="A147" s="12" t="n"/>
      <x:c r="B147" s="12" t="n"/>
      <x:c r="C147" s="12" t="n"/>
      <x:c r="D147" s="12" t="n"/>
      <x:c r="E147" s="12" t="n"/>
      <x:c r="F147" s="12" t="n"/>
      <x:c r="G147" s="12" t="n"/>
      <x:c r="H147" s="12" t="n"/>
      <x:c r="I147" s="12" t="n"/>
      <x:c r="J147" s="12" t="n"/>
      <x:c r="K147" s="12" t="n"/>
      <x:c r="L147" s="12" t="n"/>
      <x:c r="M147" s="12" t="n"/>
      <x:c r="N147" s="12" t="n"/>
      <x:c r="O147" s="12" t="n"/>
      <x:c r="P147" s="17">
        <x:f>IF($B147="","",MAX(0,40-$D147*Params!$B$2-$E147*Params!$B$3-IF($F147="是",Params!$B$4,0)-IF($G147="是",Params!$B$5,0)-IF($H147&gt;=1,Params!$B$6,0)-IF($I147&gt;90,Params!$B$8,IF($I147&gt;60,Params!$B$7,0))))</x:f>
      </x:c>
      <x:c r="Q147" s="17">
        <x:f>IF($B147="","",MAX(0,MIN(30,$J147+$K147+$L147)))</x:f>
      </x:c>
      <x:c r="R147" s="17">
        <x:f>IF($B147="","",MAX(0,MIN(30,$M147+$N147+$O147)))</x:f>
      </x:c>
      <x:c r="S147" s="17">
        <x:f>IF($B147="","",$P147+$Q147+$R147)</x:f>
      </x:c>
      <x:c r="T147" s="17">
        <x:f>IF($S147="","",IF($S147&gt;=90,"A+",IF($S147&gt;=80,"A",IF($S147&gt;=70,"B",IF($S147&gt;=60,"C","D")))))</x:f>
      </x:c>
      <x:c r="U147" s="17">
        <x:f>IF($T147="","",IF($T147="A+","正常合作 / 维持额度",IF($T147="A","正常合作 / 关注回款",IF($T147="B","控制新增赊销",IF($T147="C","降低额度 / 缩短账期","停供评估 / 法务关注")))))</x:f>
      </x:c>
      <x:c r="V147" s="13" t="n"/>
      <x:c r="W147" s="12" t="n"/>
    </x:row>
    <x:row r="148">
      <x:c r="A148" s="12" t="n"/>
      <x:c r="B148" s="12" t="n"/>
      <x:c r="C148" s="12" t="n"/>
      <x:c r="D148" s="12" t="n"/>
      <x:c r="E148" s="12" t="n"/>
      <x:c r="F148" s="12" t="n"/>
      <x:c r="G148" s="12" t="n"/>
      <x:c r="H148" s="12" t="n"/>
      <x:c r="I148" s="12" t="n"/>
      <x:c r="J148" s="12" t="n"/>
      <x:c r="K148" s="12" t="n"/>
      <x:c r="L148" s="12" t="n"/>
      <x:c r="M148" s="12" t="n"/>
      <x:c r="N148" s="12" t="n"/>
      <x:c r="O148" s="12" t="n"/>
      <x:c r="P148" s="17">
        <x:f>IF($B148="","",MAX(0,40-$D148*Params!$B$2-$E148*Params!$B$3-IF($F148="是",Params!$B$4,0)-IF($G148="是",Params!$B$5,0)-IF($H148&gt;=1,Params!$B$6,0)-IF($I148&gt;90,Params!$B$8,IF($I148&gt;60,Params!$B$7,0))))</x:f>
      </x:c>
      <x:c r="Q148" s="17">
        <x:f>IF($B148="","",MAX(0,MIN(30,$J148+$K148+$L148)))</x:f>
      </x:c>
      <x:c r="R148" s="17">
        <x:f>IF($B148="","",MAX(0,MIN(30,$M148+$N148+$O148)))</x:f>
      </x:c>
      <x:c r="S148" s="17">
        <x:f>IF($B148="","",$P148+$Q148+$R148)</x:f>
      </x:c>
      <x:c r="T148" s="17">
        <x:f>IF($S148="","",IF($S148&gt;=90,"A+",IF($S148&gt;=80,"A",IF($S148&gt;=70,"B",IF($S148&gt;=60,"C","D")))))</x:f>
      </x:c>
      <x:c r="U148" s="17">
        <x:f>IF($T148="","",IF($T148="A+","正常合作 / 维持额度",IF($T148="A","正常合作 / 关注回款",IF($T148="B","控制新增赊销",IF($T148="C","降低额度 / 缩短账期","停供评估 / 法务关注")))))</x:f>
      </x:c>
      <x:c r="V148" s="13" t="n"/>
      <x:c r="W148" s="12" t="n"/>
    </x:row>
    <x:row r="149">
      <x:c r="A149" s="12" t="n"/>
      <x:c r="B149" s="12" t="n"/>
      <x:c r="C149" s="12" t="n"/>
      <x:c r="D149" s="12" t="n"/>
      <x:c r="E149" s="12" t="n"/>
      <x:c r="F149" s="12" t="n"/>
      <x:c r="G149" s="12" t="n"/>
      <x:c r="H149" s="12" t="n"/>
      <x:c r="I149" s="12" t="n"/>
      <x:c r="J149" s="12" t="n"/>
      <x:c r="K149" s="12" t="n"/>
      <x:c r="L149" s="12" t="n"/>
      <x:c r="M149" s="12" t="n"/>
      <x:c r="N149" s="12" t="n"/>
      <x:c r="O149" s="12" t="n"/>
      <x:c r="P149" s="17">
        <x:f>IF($B149="","",MAX(0,40-$D149*Params!$B$2-$E149*Params!$B$3-IF($F149="是",Params!$B$4,0)-IF($G149="是",Params!$B$5,0)-IF($H149&gt;=1,Params!$B$6,0)-IF($I149&gt;90,Params!$B$8,IF($I149&gt;60,Params!$B$7,0))))</x:f>
      </x:c>
      <x:c r="Q149" s="17">
        <x:f>IF($B149="","",MAX(0,MIN(30,$J149+$K149+$L149)))</x:f>
      </x:c>
      <x:c r="R149" s="17">
        <x:f>IF($B149="","",MAX(0,MIN(30,$M149+$N149+$O149)))</x:f>
      </x:c>
      <x:c r="S149" s="17">
        <x:f>IF($B149="","",$P149+$Q149+$R149)</x:f>
      </x:c>
      <x:c r="T149" s="17">
        <x:f>IF($S149="","",IF($S149&gt;=90,"A+",IF($S149&gt;=80,"A",IF($S149&gt;=70,"B",IF($S149&gt;=60,"C","D")))))</x:f>
      </x:c>
      <x:c r="U149" s="17">
        <x:f>IF($T149="","",IF($T149="A+","正常合作 / 维持额度",IF($T149="A","正常合作 / 关注回款",IF($T149="B","控制新增赊销",IF($T149="C","降低额度 / 缩短账期","停供评估 / 法务关注")))))</x:f>
      </x:c>
      <x:c r="V149" s="13" t="n"/>
      <x:c r="W149" s="12" t="n"/>
    </x:row>
    <x:row r="150">
      <x:c r="A150" s="12" t="n"/>
      <x:c r="B150" s="12" t="n"/>
      <x:c r="C150" s="12" t="n"/>
      <x:c r="D150" s="12" t="n"/>
      <x:c r="E150" s="12" t="n"/>
      <x:c r="F150" s="12" t="n"/>
      <x:c r="G150" s="12" t="n"/>
      <x:c r="H150" s="12" t="n"/>
      <x:c r="I150" s="12" t="n"/>
      <x:c r="J150" s="12" t="n"/>
      <x:c r="K150" s="12" t="n"/>
      <x:c r="L150" s="12" t="n"/>
      <x:c r="M150" s="12" t="n"/>
      <x:c r="N150" s="12" t="n"/>
      <x:c r="O150" s="12" t="n"/>
      <x:c r="P150" s="17">
        <x:f>IF($B150="","",MAX(0,40-$D150*Params!$B$2-$E150*Params!$B$3-IF($F150="是",Params!$B$4,0)-IF($G150="是",Params!$B$5,0)-IF($H150&gt;=1,Params!$B$6,0)-IF($I150&gt;90,Params!$B$8,IF($I150&gt;60,Params!$B$7,0))))</x:f>
      </x:c>
      <x:c r="Q150" s="17">
        <x:f>IF($B150="","",MAX(0,MIN(30,$J150+$K150+$L150)))</x:f>
      </x:c>
      <x:c r="R150" s="17">
        <x:f>IF($B150="","",MAX(0,MIN(30,$M150+$N150+$O150)))</x:f>
      </x:c>
      <x:c r="S150" s="17">
        <x:f>IF($B150="","",$P150+$Q150+$R150)</x:f>
      </x:c>
      <x:c r="T150" s="17">
        <x:f>IF($S150="","",IF($S150&gt;=90,"A+",IF($S150&gt;=80,"A",IF($S150&gt;=70,"B",IF($S150&gt;=60,"C","D")))))</x:f>
      </x:c>
      <x:c r="U150" s="17">
        <x:f>IF($T150="","",IF($T150="A+","正常合作 / 维持额度",IF($T150="A","正常合作 / 关注回款",IF($T150="B","控制新增赊销",IF($T150="C","降低额度 / 缩短账期","停供评估 / 法务关注")))))</x:f>
      </x:c>
      <x:c r="V150" s="13" t="n"/>
      <x:c r="W150" s="12" t="n"/>
    </x:row>
    <x:row r="151">
      <x:c r="A151" s="12" t="n"/>
      <x:c r="B151" s="12" t="n"/>
      <x:c r="C151" s="12" t="n"/>
      <x:c r="D151" s="12" t="n"/>
      <x:c r="E151" s="12" t="n"/>
      <x:c r="F151" s="12" t="n"/>
      <x:c r="G151" s="12" t="n"/>
      <x:c r="H151" s="12" t="n"/>
      <x:c r="I151" s="12" t="n"/>
      <x:c r="J151" s="12" t="n"/>
      <x:c r="K151" s="12" t="n"/>
      <x:c r="L151" s="12" t="n"/>
      <x:c r="M151" s="12" t="n"/>
      <x:c r="N151" s="12" t="n"/>
      <x:c r="O151" s="12" t="n"/>
      <x:c r="P151" s="17">
        <x:f>IF($B151="","",MAX(0,40-$D151*Params!$B$2-$E151*Params!$B$3-IF($F151="是",Params!$B$4,0)-IF($G151="是",Params!$B$5,0)-IF($H151&gt;=1,Params!$B$6,0)-IF($I151&gt;90,Params!$B$8,IF($I151&gt;60,Params!$B$7,0))))</x:f>
      </x:c>
      <x:c r="Q151" s="17">
        <x:f>IF($B151="","",MAX(0,MIN(30,$J151+$K151+$L151)))</x:f>
      </x:c>
      <x:c r="R151" s="17">
        <x:f>IF($B151="","",MAX(0,MIN(30,$M151+$N151+$O151)))</x:f>
      </x:c>
      <x:c r="S151" s="17">
        <x:f>IF($B151="","",$P151+$Q151+$R151)</x:f>
      </x:c>
      <x:c r="T151" s="17">
        <x:f>IF($S151="","",IF($S151&gt;=90,"A+",IF($S151&gt;=80,"A",IF($S151&gt;=70,"B",IF($S151&gt;=60,"C","D")))))</x:f>
      </x:c>
      <x:c r="U151" s="17">
        <x:f>IF($T151="","",IF($T151="A+","正常合作 / 维持额度",IF($T151="A","正常合作 / 关注回款",IF($T151="B","控制新增赊销",IF($T151="C","降低额度 / 缩短账期","停供评估 / 法务关注")))))</x:f>
      </x:c>
      <x:c r="V151" s="13" t="n"/>
      <x:c r="W151" s="12" t="n"/>
    </x:row>
    <x:row r="152">
      <x:c r="A152" s="12" t="n"/>
      <x:c r="B152" s="12" t="n"/>
      <x:c r="C152" s="12" t="n"/>
      <x:c r="D152" s="12" t="n"/>
      <x:c r="E152" s="12" t="n"/>
      <x:c r="F152" s="12" t="n"/>
      <x:c r="G152" s="12" t="n"/>
      <x:c r="H152" s="12" t="n"/>
      <x:c r="I152" s="12" t="n"/>
      <x:c r="J152" s="12" t="n"/>
      <x:c r="K152" s="12" t="n"/>
      <x:c r="L152" s="12" t="n"/>
      <x:c r="M152" s="12" t="n"/>
      <x:c r="N152" s="12" t="n"/>
      <x:c r="O152" s="12" t="n"/>
      <x:c r="P152" s="17">
        <x:f>IF($B152="","",MAX(0,40-$D152*Params!$B$2-$E152*Params!$B$3-IF($F152="是",Params!$B$4,0)-IF($G152="是",Params!$B$5,0)-IF($H152&gt;=1,Params!$B$6,0)-IF($I152&gt;90,Params!$B$8,IF($I152&gt;60,Params!$B$7,0))))</x:f>
      </x:c>
      <x:c r="Q152" s="17">
        <x:f>IF($B152="","",MAX(0,MIN(30,$J152+$K152+$L152)))</x:f>
      </x:c>
      <x:c r="R152" s="17">
        <x:f>IF($B152="","",MAX(0,MIN(30,$M152+$N152+$O152)))</x:f>
      </x:c>
      <x:c r="S152" s="17">
        <x:f>IF($B152="","",$P152+$Q152+$R152)</x:f>
      </x:c>
      <x:c r="T152" s="17">
        <x:f>IF($S152="","",IF($S152&gt;=90,"A+",IF($S152&gt;=80,"A",IF($S152&gt;=70,"B",IF($S152&gt;=60,"C","D")))))</x:f>
      </x:c>
      <x:c r="U152" s="17">
        <x:f>IF($T152="","",IF($T152="A+","正常合作 / 维持额度",IF($T152="A","正常合作 / 关注回款",IF($T152="B","控制新增赊销",IF($T152="C","降低额度 / 缩短账期","停供评估 / 法务关注")))))</x:f>
      </x:c>
      <x:c r="V152" s="13" t="n"/>
      <x:c r="W152" s="12" t="n"/>
    </x:row>
    <x:row r="153">
      <x:c r="A153" s="12" t="n"/>
      <x:c r="B153" s="12" t="n"/>
      <x:c r="C153" s="12" t="n"/>
      <x:c r="D153" s="12" t="n"/>
      <x:c r="E153" s="12" t="n"/>
      <x:c r="F153" s="12" t="n"/>
      <x:c r="G153" s="12" t="n"/>
      <x:c r="H153" s="12" t="n"/>
      <x:c r="I153" s="12" t="n"/>
      <x:c r="J153" s="12" t="n"/>
      <x:c r="K153" s="12" t="n"/>
      <x:c r="L153" s="12" t="n"/>
      <x:c r="M153" s="12" t="n"/>
      <x:c r="N153" s="12" t="n"/>
      <x:c r="O153" s="12" t="n"/>
      <x:c r="P153" s="17">
        <x:f>IF($B153="","",MAX(0,40-$D153*Params!$B$2-$E153*Params!$B$3-IF($F153="是",Params!$B$4,0)-IF($G153="是",Params!$B$5,0)-IF($H153&gt;=1,Params!$B$6,0)-IF($I153&gt;90,Params!$B$8,IF($I153&gt;60,Params!$B$7,0))))</x:f>
      </x:c>
      <x:c r="Q153" s="17">
        <x:f>IF($B153="","",MAX(0,MIN(30,$J153+$K153+$L153)))</x:f>
      </x:c>
      <x:c r="R153" s="17">
        <x:f>IF($B153="","",MAX(0,MIN(30,$M153+$N153+$O153)))</x:f>
      </x:c>
      <x:c r="S153" s="17">
        <x:f>IF($B153="","",$P153+$Q153+$R153)</x:f>
      </x:c>
      <x:c r="T153" s="17">
        <x:f>IF($S153="","",IF($S153&gt;=90,"A+",IF($S153&gt;=80,"A",IF($S153&gt;=70,"B",IF($S153&gt;=60,"C","D")))))</x:f>
      </x:c>
      <x:c r="U153" s="17">
        <x:f>IF($T153="","",IF($T153="A+","正常合作 / 维持额度",IF($T153="A","正常合作 / 关注回款",IF($T153="B","控制新增赊销",IF($T153="C","降低额度 / 缩短账期","停供评估 / 法务关注")))))</x:f>
      </x:c>
      <x:c r="V153" s="13" t="n"/>
      <x:c r="W153" s="12" t="n"/>
    </x:row>
    <x:row r="154">
      <x:c r="A154" s="12" t="n"/>
      <x:c r="B154" s="12" t="n"/>
      <x:c r="C154" s="12" t="n"/>
      <x:c r="D154" s="12" t="n"/>
      <x:c r="E154" s="12" t="n"/>
      <x:c r="F154" s="12" t="n"/>
      <x:c r="G154" s="12" t="n"/>
      <x:c r="H154" s="12" t="n"/>
      <x:c r="I154" s="12" t="n"/>
      <x:c r="J154" s="12" t="n"/>
      <x:c r="K154" s="12" t="n"/>
      <x:c r="L154" s="12" t="n"/>
      <x:c r="M154" s="12" t="n"/>
      <x:c r="N154" s="12" t="n"/>
      <x:c r="O154" s="12" t="n"/>
      <x:c r="P154" s="17">
        <x:f>IF($B154="","",MAX(0,40-$D154*Params!$B$2-$E154*Params!$B$3-IF($F154="是",Params!$B$4,0)-IF($G154="是",Params!$B$5,0)-IF($H154&gt;=1,Params!$B$6,0)-IF($I154&gt;90,Params!$B$8,IF($I154&gt;60,Params!$B$7,0))))</x:f>
      </x:c>
      <x:c r="Q154" s="17">
        <x:f>IF($B154="","",MAX(0,MIN(30,$J154+$K154+$L154)))</x:f>
      </x:c>
      <x:c r="R154" s="17">
        <x:f>IF($B154="","",MAX(0,MIN(30,$M154+$N154+$O154)))</x:f>
      </x:c>
      <x:c r="S154" s="17">
        <x:f>IF($B154="","",$P154+$Q154+$R154)</x:f>
      </x:c>
      <x:c r="T154" s="17">
        <x:f>IF($S154="","",IF($S154&gt;=90,"A+",IF($S154&gt;=80,"A",IF($S154&gt;=70,"B",IF($S154&gt;=60,"C","D")))))</x:f>
      </x:c>
      <x:c r="U154" s="17">
        <x:f>IF($T154="","",IF($T154="A+","正常合作 / 维持额度",IF($T154="A","正常合作 / 关注回款",IF($T154="B","控制新增赊销",IF($T154="C","降低额度 / 缩短账期","停供评估 / 法务关注")))))</x:f>
      </x:c>
      <x:c r="V154" s="13" t="n"/>
      <x:c r="W154" s="12" t="n"/>
    </x:row>
    <x:row r="155">
      <x:c r="A155" s="12" t="n"/>
      <x:c r="B155" s="12" t="n"/>
      <x:c r="C155" s="12" t="n"/>
      <x:c r="D155" s="12" t="n"/>
      <x:c r="E155" s="12" t="n"/>
      <x:c r="F155" s="12" t="n"/>
      <x:c r="G155" s="12" t="n"/>
      <x:c r="H155" s="12" t="n"/>
      <x:c r="I155" s="12" t="n"/>
      <x:c r="J155" s="12" t="n"/>
      <x:c r="K155" s="12" t="n"/>
      <x:c r="L155" s="12" t="n"/>
      <x:c r="M155" s="12" t="n"/>
      <x:c r="N155" s="12" t="n"/>
      <x:c r="O155" s="12" t="n"/>
      <x:c r="P155" s="17">
        <x:f>IF($B155="","",MAX(0,40-$D155*Params!$B$2-$E155*Params!$B$3-IF($F155="是",Params!$B$4,0)-IF($G155="是",Params!$B$5,0)-IF($H155&gt;=1,Params!$B$6,0)-IF($I155&gt;90,Params!$B$8,IF($I155&gt;60,Params!$B$7,0))))</x:f>
      </x:c>
      <x:c r="Q155" s="17">
        <x:f>IF($B155="","",MAX(0,MIN(30,$J155+$K155+$L155)))</x:f>
      </x:c>
      <x:c r="R155" s="17">
        <x:f>IF($B155="","",MAX(0,MIN(30,$M155+$N155+$O155)))</x:f>
      </x:c>
      <x:c r="S155" s="17">
        <x:f>IF($B155="","",$P155+$Q155+$R155)</x:f>
      </x:c>
      <x:c r="T155" s="17">
        <x:f>IF($S155="","",IF($S155&gt;=90,"A+",IF($S155&gt;=80,"A",IF($S155&gt;=70,"B",IF($S155&gt;=60,"C","D")))))</x:f>
      </x:c>
      <x:c r="U155" s="17">
        <x:f>IF($T155="","",IF($T155="A+","正常合作 / 维持额度",IF($T155="A","正常合作 / 关注回款",IF($T155="B","控制新增赊销",IF($T155="C","降低额度 / 缩短账期","停供评估 / 法务关注")))))</x:f>
      </x:c>
      <x:c r="V155" s="13" t="n"/>
      <x:c r="W155" s="12" t="n"/>
    </x:row>
    <x:row r="156">
      <x:c r="A156" s="12" t="n"/>
      <x:c r="B156" s="12" t="n"/>
      <x:c r="C156" s="12" t="n"/>
      <x:c r="D156" s="12" t="n"/>
      <x:c r="E156" s="12" t="n"/>
      <x:c r="F156" s="12" t="n"/>
      <x:c r="G156" s="12" t="n"/>
      <x:c r="H156" s="12" t="n"/>
      <x:c r="I156" s="12" t="n"/>
      <x:c r="J156" s="12" t="n"/>
      <x:c r="K156" s="12" t="n"/>
      <x:c r="L156" s="12" t="n"/>
      <x:c r="M156" s="12" t="n"/>
      <x:c r="N156" s="12" t="n"/>
      <x:c r="O156" s="12" t="n"/>
      <x:c r="P156" s="17">
        <x:f>IF($B156="","",MAX(0,40-$D156*Params!$B$2-$E156*Params!$B$3-IF($F156="是",Params!$B$4,0)-IF($G156="是",Params!$B$5,0)-IF($H156&gt;=1,Params!$B$6,0)-IF($I156&gt;90,Params!$B$8,IF($I156&gt;60,Params!$B$7,0))))</x:f>
      </x:c>
      <x:c r="Q156" s="17">
        <x:f>IF($B156="","",MAX(0,MIN(30,$J156+$K156+$L156)))</x:f>
      </x:c>
      <x:c r="R156" s="17">
        <x:f>IF($B156="","",MAX(0,MIN(30,$M156+$N156+$O156)))</x:f>
      </x:c>
      <x:c r="S156" s="17">
        <x:f>IF($B156="","",$P156+$Q156+$R156)</x:f>
      </x:c>
      <x:c r="T156" s="17">
        <x:f>IF($S156="","",IF($S156&gt;=90,"A+",IF($S156&gt;=80,"A",IF($S156&gt;=70,"B",IF($S156&gt;=60,"C","D")))))</x:f>
      </x:c>
      <x:c r="U156" s="17">
        <x:f>IF($T156="","",IF($T156="A+","正常合作 / 维持额度",IF($T156="A","正常合作 / 关注回款",IF($T156="B","控制新增赊销",IF($T156="C","降低额度 / 缩短账期","停供评估 / 法务关注")))))</x:f>
      </x:c>
      <x:c r="V156" s="13" t="n"/>
      <x:c r="W156" s="12" t="n"/>
    </x:row>
    <x:row r="157">
      <x:c r="A157" s="12" t="n"/>
      <x:c r="B157" s="12" t="n"/>
      <x:c r="C157" s="12" t="n"/>
      <x:c r="D157" s="12" t="n"/>
      <x:c r="E157" s="12" t="n"/>
      <x:c r="F157" s="12" t="n"/>
      <x:c r="G157" s="12" t="n"/>
      <x:c r="H157" s="12" t="n"/>
      <x:c r="I157" s="12" t="n"/>
      <x:c r="J157" s="12" t="n"/>
      <x:c r="K157" s="12" t="n"/>
      <x:c r="L157" s="12" t="n"/>
      <x:c r="M157" s="12" t="n"/>
      <x:c r="N157" s="12" t="n"/>
      <x:c r="O157" s="12" t="n"/>
      <x:c r="P157" s="17">
        <x:f>IF($B157="","",MAX(0,40-$D157*Params!$B$2-$E157*Params!$B$3-IF($F157="是",Params!$B$4,0)-IF($G157="是",Params!$B$5,0)-IF($H157&gt;=1,Params!$B$6,0)-IF($I157&gt;90,Params!$B$8,IF($I157&gt;60,Params!$B$7,0))))</x:f>
      </x:c>
      <x:c r="Q157" s="17">
        <x:f>IF($B157="","",MAX(0,MIN(30,$J157+$K157+$L157)))</x:f>
      </x:c>
      <x:c r="R157" s="17">
        <x:f>IF($B157="","",MAX(0,MIN(30,$M157+$N157+$O157)))</x:f>
      </x:c>
      <x:c r="S157" s="17">
        <x:f>IF($B157="","",$P157+$Q157+$R157)</x:f>
      </x:c>
      <x:c r="T157" s="17">
        <x:f>IF($S157="","",IF($S157&gt;=90,"A+",IF($S157&gt;=80,"A",IF($S157&gt;=70,"B",IF($S157&gt;=60,"C","D")))))</x:f>
      </x:c>
      <x:c r="U157" s="17">
        <x:f>IF($T157="","",IF($T157="A+","正常合作 / 维持额度",IF($T157="A","正常合作 / 关注回款",IF($T157="B","控制新增赊销",IF($T157="C","降低额度 / 缩短账期","停供评估 / 法务关注")))))</x:f>
      </x:c>
      <x:c r="V157" s="13" t="n"/>
      <x:c r="W157" s="12" t="n"/>
    </x:row>
    <x:row r="158">
      <x:c r="A158" s="12" t="n"/>
      <x:c r="B158" s="12" t="n"/>
      <x:c r="C158" s="12" t="n"/>
      <x:c r="D158" s="12" t="n"/>
      <x:c r="E158" s="12" t="n"/>
      <x:c r="F158" s="12" t="n"/>
      <x:c r="G158" s="12" t="n"/>
      <x:c r="H158" s="12" t="n"/>
      <x:c r="I158" s="12" t="n"/>
      <x:c r="J158" s="12" t="n"/>
      <x:c r="K158" s="12" t="n"/>
      <x:c r="L158" s="12" t="n"/>
      <x:c r="M158" s="12" t="n"/>
      <x:c r="N158" s="12" t="n"/>
      <x:c r="O158" s="12" t="n"/>
      <x:c r="P158" s="17">
        <x:f>IF($B158="","",MAX(0,40-$D158*Params!$B$2-$E158*Params!$B$3-IF($F158="是",Params!$B$4,0)-IF($G158="是",Params!$B$5,0)-IF($H158&gt;=1,Params!$B$6,0)-IF($I158&gt;90,Params!$B$8,IF($I158&gt;60,Params!$B$7,0))))</x:f>
      </x:c>
      <x:c r="Q158" s="17">
        <x:f>IF($B158="","",MAX(0,MIN(30,$J158+$K158+$L158)))</x:f>
      </x:c>
      <x:c r="R158" s="17">
        <x:f>IF($B158="","",MAX(0,MIN(30,$M158+$N158+$O158)))</x:f>
      </x:c>
      <x:c r="S158" s="17">
        <x:f>IF($B158="","",$P158+$Q158+$R158)</x:f>
      </x:c>
      <x:c r="T158" s="17">
        <x:f>IF($S158="","",IF($S158&gt;=90,"A+",IF($S158&gt;=80,"A",IF($S158&gt;=70,"B",IF($S158&gt;=60,"C","D")))))</x:f>
      </x:c>
      <x:c r="U158" s="17">
        <x:f>IF($T158="","",IF($T158="A+","正常合作 / 维持额度",IF($T158="A","正常合作 / 关注回款",IF($T158="B","控制新增赊销",IF($T158="C","降低额度 / 缩短账期","停供评估 / 法务关注")))))</x:f>
      </x:c>
      <x:c r="V158" s="13" t="n"/>
      <x:c r="W158" s="12" t="n"/>
    </x:row>
    <x:row r="159">
      <x:c r="A159" s="12" t="n"/>
      <x:c r="B159" s="12" t="n"/>
      <x:c r="C159" s="12" t="n"/>
      <x:c r="D159" s="12" t="n"/>
      <x:c r="E159" s="12" t="n"/>
      <x:c r="F159" s="12" t="n"/>
      <x:c r="G159" s="12" t="n"/>
      <x:c r="H159" s="12" t="n"/>
      <x:c r="I159" s="12" t="n"/>
      <x:c r="J159" s="12" t="n"/>
      <x:c r="K159" s="12" t="n"/>
      <x:c r="L159" s="12" t="n"/>
      <x:c r="M159" s="12" t="n"/>
      <x:c r="N159" s="12" t="n"/>
      <x:c r="O159" s="12" t="n"/>
      <x:c r="P159" s="17">
        <x:f>IF($B159="","",MAX(0,40-$D159*Params!$B$2-$E159*Params!$B$3-IF($F159="是",Params!$B$4,0)-IF($G159="是",Params!$B$5,0)-IF($H159&gt;=1,Params!$B$6,0)-IF($I159&gt;90,Params!$B$8,IF($I159&gt;60,Params!$B$7,0))))</x:f>
      </x:c>
      <x:c r="Q159" s="17">
        <x:f>IF($B159="","",MAX(0,MIN(30,$J159+$K159+$L159)))</x:f>
      </x:c>
      <x:c r="R159" s="17">
        <x:f>IF($B159="","",MAX(0,MIN(30,$M159+$N159+$O159)))</x:f>
      </x:c>
      <x:c r="S159" s="17">
        <x:f>IF($B159="","",$P159+$Q159+$R159)</x:f>
      </x:c>
      <x:c r="T159" s="17">
        <x:f>IF($S159="","",IF($S159&gt;=90,"A+",IF($S159&gt;=80,"A",IF($S159&gt;=70,"B",IF($S159&gt;=60,"C","D")))))</x:f>
      </x:c>
      <x:c r="U159" s="17">
        <x:f>IF($T159="","",IF($T159="A+","正常合作 / 维持额度",IF($T159="A","正常合作 / 关注回款",IF($T159="B","控制新增赊销",IF($T159="C","降低额度 / 缩短账期","停供评估 / 法务关注")))))</x:f>
      </x:c>
      <x:c r="V159" s="13" t="n"/>
      <x:c r="W159" s="12" t="n"/>
    </x:row>
    <x:row r="160">
      <x:c r="A160" s="12" t="n"/>
      <x:c r="B160" s="12" t="n"/>
      <x:c r="C160" s="12" t="n"/>
      <x:c r="D160" s="12" t="n"/>
      <x:c r="E160" s="12" t="n"/>
      <x:c r="F160" s="12" t="n"/>
      <x:c r="G160" s="12" t="n"/>
      <x:c r="H160" s="12" t="n"/>
      <x:c r="I160" s="12" t="n"/>
      <x:c r="J160" s="12" t="n"/>
      <x:c r="K160" s="12" t="n"/>
      <x:c r="L160" s="12" t="n"/>
      <x:c r="M160" s="12" t="n"/>
      <x:c r="N160" s="12" t="n"/>
      <x:c r="O160" s="12" t="n"/>
      <x:c r="P160" s="17">
        <x:f>IF($B160="","",MAX(0,40-$D160*Params!$B$2-$E160*Params!$B$3-IF($F160="是",Params!$B$4,0)-IF($G160="是",Params!$B$5,0)-IF($H160&gt;=1,Params!$B$6,0)-IF($I160&gt;90,Params!$B$8,IF($I160&gt;60,Params!$B$7,0))))</x:f>
      </x:c>
      <x:c r="Q160" s="17">
        <x:f>IF($B160="","",MAX(0,MIN(30,$J160+$K160+$L160)))</x:f>
      </x:c>
      <x:c r="R160" s="17">
        <x:f>IF($B160="","",MAX(0,MIN(30,$M160+$N160+$O160)))</x:f>
      </x:c>
      <x:c r="S160" s="17">
        <x:f>IF($B160="","",$P160+$Q160+$R160)</x:f>
      </x:c>
      <x:c r="T160" s="17">
        <x:f>IF($S160="","",IF($S160&gt;=90,"A+",IF($S160&gt;=80,"A",IF($S160&gt;=70,"B",IF($S160&gt;=60,"C","D")))))</x:f>
      </x:c>
      <x:c r="U160" s="17">
        <x:f>IF($T160="","",IF($T160="A+","正常合作 / 维持额度",IF($T160="A","正常合作 / 关注回款",IF($T160="B","控制新增赊销",IF($T160="C","降低额度 / 缩短账期","停供评估 / 法务关注")))))</x:f>
      </x:c>
      <x:c r="V160" s="13" t="n"/>
      <x:c r="W160" s="12" t="n"/>
    </x:row>
    <x:row r="161">
      <x:c r="A161" s="12" t="n"/>
      <x:c r="B161" s="12" t="n"/>
      <x:c r="C161" s="12" t="n"/>
      <x:c r="D161" s="12" t="n"/>
      <x:c r="E161" s="12" t="n"/>
      <x:c r="F161" s="12" t="n"/>
      <x:c r="G161" s="12" t="n"/>
      <x:c r="H161" s="12" t="n"/>
      <x:c r="I161" s="12" t="n"/>
      <x:c r="J161" s="12" t="n"/>
      <x:c r="K161" s="12" t="n"/>
      <x:c r="L161" s="12" t="n"/>
      <x:c r="M161" s="12" t="n"/>
      <x:c r="N161" s="12" t="n"/>
      <x:c r="O161" s="12" t="n"/>
      <x:c r="P161" s="17">
        <x:f>IF($B161="","",MAX(0,40-$D161*Params!$B$2-$E161*Params!$B$3-IF($F161="是",Params!$B$4,0)-IF($G161="是",Params!$B$5,0)-IF($H161&gt;=1,Params!$B$6,0)-IF($I161&gt;90,Params!$B$8,IF($I161&gt;60,Params!$B$7,0))))</x:f>
      </x:c>
      <x:c r="Q161" s="17">
        <x:f>IF($B161="","",MAX(0,MIN(30,$J161+$K161+$L161)))</x:f>
      </x:c>
      <x:c r="R161" s="17">
        <x:f>IF($B161="","",MAX(0,MIN(30,$M161+$N161+$O161)))</x:f>
      </x:c>
      <x:c r="S161" s="17">
        <x:f>IF($B161="","",$P161+$Q161+$R161)</x:f>
      </x:c>
      <x:c r="T161" s="17">
        <x:f>IF($S161="","",IF($S161&gt;=90,"A+",IF($S161&gt;=80,"A",IF($S161&gt;=70,"B",IF($S161&gt;=60,"C","D")))))</x:f>
      </x:c>
      <x:c r="U161" s="17">
        <x:f>IF($T161="","",IF($T161="A+","正常合作 / 维持额度",IF($T161="A","正常合作 / 关注回款",IF($T161="B","控制新增赊销",IF($T161="C","降低额度 / 缩短账期","停供评估 / 法务关注")))))</x:f>
      </x:c>
      <x:c r="V161" s="13" t="n"/>
      <x:c r="W161" s="12" t="n"/>
    </x:row>
    <x:row r="162">
      <x:c r="A162" s="12" t="n"/>
      <x:c r="B162" s="12" t="n"/>
      <x:c r="C162" s="12" t="n"/>
      <x:c r="D162" s="12" t="n"/>
      <x:c r="E162" s="12" t="n"/>
      <x:c r="F162" s="12" t="n"/>
      <x:c r="G162" s="12" t="n"/>
      <x:c r="H162" s="12" t="n"/>
      <x:c r="I162" s="12" t="n"/>
      <x:c r="J162" s="12" t="n"/>
      <x:c r="K162" s="12" t="n"/>
      <x:c r="L162" s="12" t="n"/>
      <x:c r="M162" s="12" t="n"/>
      <x:c r="N162" s="12" t="n"/>
      <x:c r="O162" s="12" t="n"/>
      <x:c r="P162" s="17">
        <x:f>IF($B162="","",MAX(0,40-$D162*Params!$B$2-$E162*Params!$B$3-IF($F162="是",Params!$B$4,0)-IF($G162="是",Params!$B$5,0)-IF($H162&gt;=1,Params!$B$6,0)-IF($I162&gt;90,Params!$B$8,IF($I162&gt;60,Params!$B$7,0))))</x:f>
      </x:c>
      <x:c r="Q162" s="17">
        <x:f>IF($B162="","",MAX(0,MIN(30,$J162+$K162+$L162)))</x:f>
      </x:c>
      <x:c r="R162" s="17">
        <x:f>IF($B162="","",MAX(0,MIN(30,$M162+$N162+$O162)))</x:f>
      </x:c>
      <x:c r="S162" s="17">
        <x:f>IF($B162="","",$P162+$Q162+$R162)</x:f>
      </x:c>
      <x:c r="T162" s="17">
        <x:f>IF($S162="","",IF($S162&gt;=90,"A+",IF($S162&gt;=80,"A",IF($S162&gt;=70,"B",IF($S162&gt;=60,"C","D")))))</x:f>
      </x:c>
      <x:c r="U162" s="17">
        <x:f>IF($T162="","",IF($T162="A+","正常合作 / 维持额度",IF($T162="A","正常合作 / 关注回款",IF($T162="B","控制新增赊销",IF($T162="C","降低额度 / 缩短账期","停供评估 / 法务关注")))))</x:f>
      </x:c>
      <x:c r="V162" s="13" t="n"/>
      <x:c r="W162" s="12" t="n"/>
    </x:row>
    <x:row r="163">
      <x:c r="A163" s="12" t="n"/>
      <x:c r="B163" s="12" t="n"/>
      <x:c r="C163" s="12" t="n"/>
      <x:c r="D163" s="12" t="n"/>
      <x:c r="E163" s="12" t="n"/>
      <x:c r="F163" s="12" t="n"/>
      <x:c r="G163" s="12" t="n"/>
      <x:c r="H163" s="12" t="n"/>
      <x:c r="I163" s="12" t="n"/>
      <x:c r="J163" s="12" t="n"/>
      <x:c r="K163" s="12" t="n"/>
      <x:c r="L163" s="12" t="n"/>
      <x:c r="M163" s="12" t="n"/>
      <x:c r="N163" s="12" t="n"/>
      <x:c r="O163" s="12" t="n"/>
      <x:c r="P163" s="17">
        <x:f>IF($B163="","",MAX(0,40-$D163*Params!$B$2-$E163*Params!$B$3-IF($F163="是",Params!$B$4,0)-IF($G163="是",Params!$B$5,0)-IF($H163&gt;=1,Params!$B$6,0)-IF($I163&gt;90,Params!$B$8,IF($I163&gt;60,Params!$B$7,0))))</x:f>
      </x:c>
      <x:c r="Q163" s="17">
        <x:f>IF($B163="","",MAX(0,MIN(30,$J163+$K163+$L163)))</x:f>
      </x:c>
      <x:c r="R163" s="17">
        <x:f>IF($B163="","",MAX(0,MIN(30,$M163+$N163+$O163)))</x:f>
      </x:c>
      <x:c r="S163" s="17">
        <x:f>IF($B163="","",$P163+$Q163+$R163)</x:f>
      </x:c>
      <x:c r="T163" s="17">
        <x:f>IF($S163="","",IF($S163&gt;=90,"A+",IF($S163&gt;=80,"A",IF($S163&gt;=70,"B",IF($S163&gt;=60,"C","D")))))</x:f>
      </x:c>
      <x:c r="U163" s="17">
        <x:f>IF($T163="","",IF($T163="A+","正常合作 / 维持额度",IF($T163="A","正常合作 / 关注回款",IF($T163="B","控制新增赊销",IF($T163="C","降低额度 / 缩短账期","停供评估 / 法务关注")))))</x:f>
      </x:c>
      <x:c r="V163" s="13" t="n"/>
      <x:c r="W163" s="12" t="n"/>
    </x:row>
    <x:row r="164">
      <x:c r="A164" s="12" t="n"/>
      <x:c r="B164" s="12" t="n"/>
      <x:c r="C164" s="12" t="n"/>
      <x:c r="D164" s="12" t="n"/>
      <x:c r="E164" s="12" t="n"/>
      <x:c r="F164" s="12" t="n"/>
      <x:c r="G164" s="12" t="n"/>
      <x:c r="H164" s="12" t="n"/>
      <x:c r="I164" s="12" t="n"/>
      <x:c r="J164" s="12" t="n"/>
      <x:c r="K164" s="12" t="n"/>
      <x:c r="L164" s="12" t="n"/>
      <x:c r="M164" s="12" t="n"/>
      <x:c r="N164" s="12" t="n"/>
      <x:c r="O164" s="12" t="n"/>
      <x:c r="P164" s="17">
        <x:f>IF($B164="","",MAX(0,40-$D164*Params!$B$2-$E164*Params!$B$3-IF($F164="是",Params!$B$4,0)-IF($G164="是",Params!$B$5,0)-IF($H164&gt;=1,Params!$B$6,0)-IF($I164&gt;90,Params!$B$8,IF($I164&gt;60,Params!$B$7,0))))</x:f>
      </x:c>
      <x:c r="Q164" s="17">
        <x:f>IF($B164="","",MAX(0,MIN(30,$J164+$K164+$L164)))</x:f>
      </x:c>
      <x:c r="R164" s="17">
        <x:f>IF($B164="","",MAX(0,MIN(30,$M164+$N164+$O164)))</x:f>
      </x:c>
      <x:c r="S164" s="17">
        <x:f>IF($B164="","",$P164+$Q164+$R164)</x:f>
      </x:c>
      <x:c r="T164" s="17">
        <x:f>IF($S164="","",IF($S164&gt;=90,"A+",IF($S164&gt;=80,"A",IF($S164&gt;=70,"B",IF($S164&gt;=60,"C","D")))))</x:f>
      </x:c>
      <x:c r="U164" s="17">
        <x:f>IF($T164="","",IF($T164="A+","正常合作 / 维持额度",IF($T164="A","正常合作 / 关注回款",IF($T164="B","控制新增赊销",IF($T164="C","降低额度 / 缩短账期","停供评估 / 法务关注")))))</x:f>
      </x:c>
      <x:c r="V164" s="13" t="n"/>
      <x:c r="W164" s="12" t="n"/>
    </x:row>
    <x:row r="165">
      <x:c r="A165" s="12" t="n"/>
      <x:c r="B165" s="12" t="n"/>
      <x:c r="C165" s="12" t="n"/>
      <x:c r="D165" s="12" t="n"/>
      <x:c r="E165" s="12" t="n"/>
      <x:c r="F165" s="12" t="n"/>
      <x:c r="G165" s="12" t="n"/>
      <x:c r="H165" s="12" t="n"/>
      <x:c r="I165" s="12" t="n"/>
      <x:c r="J165" s="12" t="n"/>
      <x:c r="K165" s="12" t="n"/>
      <x:c r="L165" s="12" t="n"/>
      <x:c r="M165" s="12" t="n"/>
      <x:c r="N165" s="12" t="n"/>
      <x:c r="O165" s="12" t="n"/>
      <x:c r="P165" s="17">
        <x:f>IF($B165="","",MAX(0,40-$D165*Params!$B$2-$E165*Params!$B$3-IF($F165="是",Params!$B$4,0)-IF($G165="是",Params!$B$5,0)-IF($H165&gt;=1,Params!$B$6,0)-IF($I165&gt;90,Params!$B$8,IF($I165&gt;60,Params!$B$7,0))))</x:f>
      </x:c>
      <x:c r="Q165" s="17">
        <x:f>IF($B165="","",MAX(0,MIN(30,$J165+$K165+$L165)))</x:f>
      </x:c>
      <x:c r="R165" s="17">
        <x:f>IF($B165="","",MAX(0,MIN(30,$M165+$N165+$O165)))</x:f>
      </x:c>
      <x:c r="S165" s="17">
        <x:f>IF($B165="","",$P165+$Q165+$R165)</x:f>
      </x:c>
      <x:c r="T165" s="17">
        <x:f>IF($S165="","",IF($S165&gt;=90,"A+",IF($S165&gt;=80,"A",IF($S165&gt;=70,"B",IF($S165&gt;=60,"C","D")))))</x:f>
      </x:c>
      <x:c r="U165" s="17">
        <x:f>IF($T165="","",IF($T165="A+","正常合作 / 维持额度",IF($T165="A","正常合作 / 关注回款",IF($T165="B","控制新增赊销",IF($T165="C","降低额度 / 缩短账期","停供评估 / 法务关注")))))</x:f>
      </x:c>
      <x:c r="V165" s="13" t="n"/>
      <x:c r="W165" s="12" t="n"/>
    </x:row>
    <x:row r="166">
      <x:c r="A166" s="12" t="n"/>
      <x:c r="B166" s="12" t="n"/>
      <x:c r="C166" s="12" t="n"/>
      <x:c r="D166" s="12" t="n"/>
      <x:c r="E166" s="12" t="n"/>
      <x:c r="F166" s="12" t="n"/>
      <x:c r="G166" s="12" t="n"/>
      <x:c r="H166" s="12" t="n"/>
      <x:c r="I166" s="12" t="n"/>
      <x:c r="J166" s="12" t="n"/>
      <x:c r="K166" s="12" t="n"/>
      <x:c r="L166" s="12" t="n"/>
      <x:c r="M166" s="12" t="n"/>
      <x:c r="N166" s="12" t="n"/>
      <x:c r="O166" s="12" t="n"/>
      <x:c r="P166" s="17">
        <x:f>IF($B166="","",MAX(0,40-$D166*Params!$B$2-$E166*Params!$B$3-IF($F166="是",Params!$B$4,0)-IF($G166="是",Params!$B$5,0)-IF($H166&gt;=1,Params!$B$6,0)-IF($I166&gt;90,Params!$B$8,IF($I166&gt;60,Params!$B$7,0))))</x:f>
      </x:c>
      <x:c r="Q166" s="17">
        <x:f>IF($B166="","",MAX(0,MIN(30,$J166+$K166+$L166)))</x:f>
      </x:c>
      <x:c r="R166" s="17">
        <x:f>IF($B166="","",MAX(0,MIN(30,$M166+$N166+$O166)))</x:f>
      </x:c>
      <x:c r="S166" s="17">
        <x:f>IF($B166="","",$P166+$Q166+$R166)</x:f>
      </x:c>
      <x:c r="T166" s="17">
        <x:f>IF($S166="","",IF($S166&gt;=90,"A+",IF($S166&gt;=80,"A",IF($S166&gt;=70,"B",IF($S166&gt;=60,"C","D")))))</x:f>
      </x:c>
      <x:c r="U166" s="17">
        <x:f>IF($T166="","",IF($T166="A+","正常合作 / 维持额度",IF($T166="A","正常合作 / 关注回款",IF($T166="B","控制新增赊销",IF($T166="C","降低额度 / 缩短账期","停供评估 / 法务关注")))))</x:f>
      </x:c>
      <x:c r="V166" s="13" t="n"/>
      <x:c r="W166" s="12" t="n"/>
    </x:row>
    <x:row r="167">
      <x:c r="A167" s="12" t="n"/>
      <x:c r="B167" s="12" t="n"/>
      <x:c r="C167" s="12" t="n"/>
      <x:c r="D167" s="12" t="n"/>
      <x:c r="E167" s="12" t="n"/>
      <x:c r="F167" s="12" t="n"/>
      <x:c r="G167" s="12" t="n"/>
      <x:c r="H167" s="12" t="n"/>
      <x:c r="I167" s="12" t="n"/>
      <x:c r="J167" s="12" t="n"/>
      <x:c r="K167" s="12" t="n"/>
      <x:c r="L167" s="12" t="n"/>
      <x:c r="M167" s="12" t="n"/>
      <x:c r="N167" s="12" t="n"/>
      <x:c r="O167" s="12" t="n"/>
      <x:c r="P167" s="17">
        <x:f>IF($B167="","",MAX(0,40-$D167*Params!$B$2-$E167*Params!$B$3-IF($F167="是",Params!$B$4,0)-IF($G167="是",Params!$B$5,0)-IF($H167&gt;=1,Params!$B$6,0)-IF($I167&gt;90,Params!$B$8,IF($I167&gt;60,Params!$B$7,0))))</x:f>
      </x:c>
      <x:c r="Q167" s="17">
        <x:f>IF($B167="","",MAX(0,MIN(30,$J167+$K167+$L167)))</x:f>
      </x:c>
      <x:c r="R167" s="17">
        <x:f>IF($B167="","",MAX(0,MIN(30,$M167+$N167+$O167)))</x:f>
      </x:c>
      <x:c r="S167" s="17">
        <x:f>IF($B167="","",$P167+$Q167+$R167)</x:f>
      </x:c>
      <x:c r="T167" s="17">
        <x:f>IF($S167="","",IF($S167&gt;=90,"A+",IF($S167&gt;=80,"A",IF($S167&gt;=70,"B",IF($S167&gt;=60,"C","D")))))</x:f>
      </x:c>
      <x:c r="U167" s="17">
        <x:f>IF($T167="","",IF($T167="A+","正常合作 / 维持额度",IF($T167="A","正常合作 / 关注回款",IF($T167="B","控制新增赊销",IF($T167="C","降低额度 / 缩短账期","停供评估 / 法务关注")))))</x:f>
      </x:c>
      <x:c r="V167" s="13" t="n"/>
      <x:c r="W167" s="12" t="n"/>
    </x:row>
    <x:row r="168">
      <x:c r="A168" s="12" t="n"/>
      <x:c r="B168" s="12" t="n"/>
      <x:c r="C168" s="12" t="n"/>
      <x:c r="D168" s="12" t="n"/>
      <x:c r="E168" s="12" t="n"/>
      <x:c r="F168" s="12" t="n"/>
      <x:c r="G168" s="12" t="n"/>
      <x:c r="H168" s="12" t="n"/>
      <x:c r="I168" s="12" t="n"/>
      <x:c r="J168" s="12" t="n"/>
      <x:c r="K168" s="12" t="n"/>
      <x:c r="L168" s="12" t="n"/>
      <x:c r="M168" s="12" t="n"/>
      <x:c r="N168" s="12" t="n"/>
      <x:c r="O168" s="12" t="n"/>
      <x:c r="P168" s="17">
        <x:f>IF($B168="","",MAX(0,40-$D168*Params!$B$2-$E168*Params!$B$3-IF($F168="是",Params!$B$4,0)-IF($G168="是",Params!$B$5,0)-IF($H168&gt;=1,Params!$B$6,0)-IF($I168&gt;90,Params!$B$8,IF($I168&gt;60,Params!$B$7,0))))</x:f>
      </x:c>
      <x:c r="Q168" s="17">
        <x:f>IF($B168="","",MAX(0,MIN(30,$J168+$K168+$L168)))</x:f>
      </x:c>
      <x:c r="R168" s="17">
        <x:f>IF($B168="","",MAX(0,MIN(30,$M168+$N168+$O168)))</x:f>
      </x:c>
      <x:c r="S168" s="17">
        <x:f>IF($B168="","",$P168+$Q168+$R168)</x:f>
      </x:c>
      <x:c r="T168" s="17">
        <x:f>IF($S168="","",IF($S168&gt;=90,"A+",IF($S168&gt;=80,"A",IF($S168&gt;=70,"B",IF($S168&gt;=60,"C","D")))))</x:f>
      </x:c>
      <x:c r="U168" s="17">
        <x:f>IF($T168="","",IF($T168="A+","正常合作 / 维持额度",IF($T168="A","正常合作 / 关注回款",IF($T168="B","控制新增赊销",IF($T168="C","降低额度 / 缩短账期","停供评估 / 法务关注")))))</x:f>
      </x:c>
      <x:c r="V168" s="13" t="n"/>
      <x:c r="W168" s="12" t="n"/>
    </x:row>
    <x:row r="169">
      <x:c r="A169" s="12" t="n"/>
      <x:c r="B169" s="12" t="n"/>
      <x:c r="C169" s="12" t="n"/>
      <x:c r="D169" s="12" t="n"/>
      <x:c r="E169" s="12" t="n"/>
      <x:c r="F169" s="12" t="n"/>
      <x:c r="G169" s="12" t="n"/>
      <x:c r="H169" s="12" t="n"/>
      <x:c r="I169" s="12" t="n"/>
      <x:c r="J169" s="12" t="n"/>
      <x:c r="K169" s="12" t="n"/>
      <x:c r="L169" s="12" t="n"/>
      <x:c r="M169" s="12" t="n"/>
      <x:c r="N169" s="12" t="n"/>
      <x:c r="O169" s="12" t="n"/>
      <x:c r="P169" s="17">
        <x:f>IF($B169="","",MAX(0,40-$D169*Params!$B$2-$E169*Params!$B$3-IF($F169="是",Params!$B$4,0)-IF($G169="是",Params!$B$5,0)-IF($H169&gt;=1,Params!$B$6,0)-IF($I169&gt;90,Params!$B$8,IF($I169&gt;60,Params!$B$7,0))))</x:f>
      </x:c>
      <x:c r="Q169" s="17">
        <x:f>IF($B169="","",MAX(0,MIN(30,$J169+$K169+$L169)))</x:f>
      </x:c>
      <x:c r="R169" s="17">
        <x:f>IF($B169="","",MAX(0,MIN(30,$M169+$N169+$O169)))</x:f>
      </x:c>
      <x:c r="S169" s="17">
        <x:f>IF($B169="","",$P169+$Q169+$R169)</x:f>
      </x:c>
      <x:c r="T169" s="17">
        <x:f>IF($S169="","",IF($S169&gt;=90,"A+",IF($S169&gt;=80,"A",IF($S169&gt;=70,"B",IF($S169&gt;=60,"C","D")))))</x:f>
      </x:c>
      <x:c r="U169" s="17">
        <x:f>IF($T169="","",IF($T169="A+","正常合作 / 维持额度",IF($T169="A","正常合作 / 关注回款",IF($T169="B","控制新增赊销",IF($T169="C","降低额度 / 缩短账期","停供评估 / 法务关注")))))</x:f>
      </x:c>
      <x:c r="V169" s="13" t="n"/>
      <x:c r="W169" s="12" t="n"/>
    </x:row>
    <x:row r="170">
      <x:c r="A170" s="12" t="n"/>
      <x:c r="B170" s="12" t="n"/>
      <x:c r="C170" s="12" t="n"/>
      <x:c r="D170" s="12" t="n"/>
      <x:c r="E170" s="12" t="n"/>
      <x:c r="F170" s="12" t="n"/>
      <x:c r="G170" s="12" t="n"/>
      <x:c r="H170" s="12" t="n"/>
      <x:c r="I170" s="12" t="n"/>
      <x:c r="J170" s="12" t="n"/>
      <x:c r="K170" s="12" t="n"/>
      <x:c r="L170" s="12" t="n"/>
      <x:c r="M170" s="12" t="n"/>
      <x:c r="N170" s="12" t="n"/>
      <x:c r="O170" s="12" t="n"/>
      <x:c r="P170" s="17">
        <x:f>IF($B170="","",MAX(0,40-$D170*Params!$B$2-$E170*Params!$B$3-IF($F170="是",Params!$B$4,0)-IF($G170="是",Params!$B$5,0)-IF($H170&gt;=1,Params!$B$6,0)-IF($I170&gt;90,Params!$B$8,IF($I170&gt;60,Params!$B$7,0))))</x:f>
      </x:c>
      <x:c r="Q170" s="17">
        <x:f>IF($B170="","",MAX(0,MIN(30,$J170+$K170+$L170)))</x:f>
      </x:c>
      <x:c r="R170" s="17">
        <x:f>IF($B170="","",MAX(0,MIN(30,$M170+$N170+$O170)))</x:f>
      </x:c>
      <x:c r="S170" s="17">
        <x:f>IF($B170="","",$P170+$Q170+$R170)</x:f>
      </x:c>
      <x:c r="T170" s="17">
        <x:f>IF($S170="","",IF($S170&gt;=90,"A+",IF($S170&gt;=80,"A",IF($S170&gt;=70,"B",IF($S170&gt;=60,"C","D")))))</x:f>
      </x:c>
      <x:c r="U170" s="17">
        <x:f>IF($T170="","",IF($T170="A+","正常合作 / 维持额度",IF($T170="A","正常合作 / 关注回款",IF($T170="B","控制新增赊销",IF($T170="C","降低额度 / 缩短账期","停供评估 / 法务关注")))))</x:f>
      </x:c>
      <x:c r="V170" s="13" t="n"/>
      <x:c r="W170" s="12" t="n"/>
    </x:row>
    <x:row r="171">
      <x:c r="A171" s="12" t="n"/>
      <x:c r="B171" s="12" t="n"/>
      <x:c r="C171" s="12" t="n"/>
      <x:c r="D171" s="12" t="n"/>
      <x:c r="E171" s="12" t="n"/>
      <x:c r="F171" s="12" t="n"/>
      <x:c r="G171" s="12" t="n"/>
      <x:c r="H171" s="12" t="n"/>
      <x:c r="I171" s="12" t="n"/>
      <x:c r="J171" s="12" t="n"/>
      <x:c r="K171" s="12" t="n"/>
      <x:c r="L171" s="12" t="n"/>
      <x:c r="M171" s="12" t="n"/>
      <x:c r="N171" s="12" t="n"/>
      <x:c r="O171" s="12" t="n"/>
      <x:c r="P171" s="17">
        <x:f>IF($B171="","",MAX(0,40-$D171*Params!$B$2-$E171*Params!$B$3-IF($F171="是",Params!$B$4,0)-IF($G171="是",Params!$B$5,0)-IF($H171&gt;=1,Params!$B$6,0)-IF($I171&gt;90,Params!$B$8,IF($I171&gt;60,Params!$B$7,0))))</x:f>
      </x:c>
      <x:c r="Q171" s="17">
        <x:f>IF($B171="","",MAX(0,MIN(30,$J171+$K171+$L171)))</x:f>
      </x:c>
      <x:c r="R171" s="17">
        <x:f>IF($B171="","",MAX(0,MIN(30,$M171+$N171+$O171)))</x:f>
      </x:c>
      <x:c r="S171" s="17">
        <x:f>IF($B171="","",$P171+$Q171+$R171)</x:f>
      </x:c>
      <x:c r="T171" s="17">
        <x:f>IF($S171="","",IF($S171&gt;=90,"A+",IF($S171&gt;=80,"A",IF($S171&gt;=70,"B",IF($S171&gt;=60,"C","D")))))</x:f>
      </x:c>
      <x:c r="U171" s="17">
        <x:f>IF($T171="","",IF($T171="A+","正常合作 / 维持额度",IF($T171="A","正常合作 / 关注回款",IF($T171="B","控制新增赊销",IF($T171="C","降低额度 / 缩短账期","停供评估 / 法务关注")))))</x:f>
      </x:c>
      <x:c r="V171" s="13" t="n"/>
      <x:c r="W171" s="12" t="n"/>
    </x:row>
    <x:row r="172">
      <x:c r="A172" s="12" t="n"/>
      <x:c r="B172" s="12" t="n"/>
      <x:c r="C172" s="12" t="n"/>
      <x:c r="D172" s="12" t="n"/>
      <x:c r="E172" s="12" t="n"/>
      <x:c r="F172" s="12" t="n"/>
      <x:c r="G172" s="12" t="n"/>
      <x:c r="H172" s="12" t="n"/>
      <x:c r="I172" s="12" t="n"/>
      <x:c r="J172" s="12" t="n"/>
      <x:c r="K172" s="12" t="n"/>
      <x:c r="L172" s="12" t="n"/>
      <x:c r="M172" s="12" t="n"/>
      <x:c r="N172" s="12" t="n"/>
      <x:c r="O172" s="12" t="n"/>
      <x:c r="P172" s="17">
        <x:f>IF($B172="","",MAX(0,40-$D172*Params!$B$2-$E172*Params!$B$3-IF($F172="是",Params!$B$4,0)-IF($G172="是",Params!$B$5,0)-IF($H172&gt;=1,Params!$B$6,0)-IF($I172&gt;90,Params!$B$8,IF($I172&gt;60,Params!$B$7,0))))</x:f>
      </x:c>
      <x:c r="Q172" s="17">
        <x:f>IF($B172="","",MAX(0,MIN(30,$J172+$K172+$L172)))</x:f>
      </x:c>
      <x:c r="R172" s="17">
        <x:f>IF($B172="","",MAX(0,MIN(30,$M172+$N172+$O172)))</x:f>
      </x:c>
      <x:c r="S172" s="17">
        <x:f>IF($B172="","",$P172+$Q172+$R172)</x:f>
      </x:c>
      <x:c r="T172" s="17">
        <x:f>IF($S172="","",IF($S172&gt;=90,"A+",IF($S172&gt;=80,"A",IF($S172&gt;=70,"B",IF($S172&gt;=60,"C","D")))))</x:f>
      </x:c>
      <x:c r="U172" s="17">
        <x:f>IF($T172="","",IF($T172="A+","正常合作 / 维持额度",IF($T172="A","正常合作 / 关注回款",IF($T172="B","控制新增赊销",IF($T172="C","降低额度 / 缩短账期","停供评估 / 法务关注")))))</x:f>
      </x:c>
      <x:c r="V172" s="13" t="n"/>
      <x:c r="W172" s="12" t="n"/>
    </x:row>
    <x:row r="173">
      <x:c r="A173" s="12" t="n"/>
      <x:c r="B173" s="12" t="n"/>
      <x:c r="C173" s="12" t="n"/>
      <x:c r="D173" s="12" t="n"/>
      <x:c r="E173" s="12" t="n"/>
      <x:c r="F173" s="12" t="n"/>
      <x:c r="G173" s="12" t="n"/>
      <x:c r="H173" s="12" t="n"/>
      <x:c r="I173" s="12" t="n"/>
      <x:c r="J173" s="12" t="n"/>
      <x:c r="K173" s="12" t="n"/>
      <x:c r="L173" s="12" t="n"/>
      <x:c r="M173" s="12" t="n"/>
      <x:c r="N173" s="12" t="n"/>
      <x:c r="O173" s="12" t="n"/>
      <x:c r="P173" s="17">
        <x:f>IF($B173="","",MAX(0,40-$D173*Params!$B$2-$E173*Params!$B$3-IF($F173="是",Params!$B$4,0)-IF($G173="是",Params!$B$5,0)-IF($H173&gt;=1,Params!$B$6,0)-IF($I173&gt;90,Params!$B$8,IF($I173&gt;60,Params!$B$7,0))))</x:f>
      </x:c>
      <x:c r="Q173" s="17">
        <x:f>IF($B173="","",MAX(0,MIN(30,$J173+$K173+$L173)))</x:f>
      </x:c>
      <x:c r="R173" s="17">
        <x:f>IF($B173="","",MAX(0,MIN(30,$M173+$N173+$O173)))</x:f>
      </x:c>
      <x:c r="S173" s="17">
        <x:f>IF($B173="","",$P173+$Q173+$R173)</x:f>
      </x:c>
      <x:c r="T173" s="17">
        <x:f>IF($S173="","",IF($S173&gt;=90,"A+",IF($S173&gt;=80,"A",IF($S173&gt;=70,"B",IF($S173&gt;=60,"C","D")))))</x:f>
      </x:c>
      <x:c r="U173" s="17">
        <x:f>IF($T173="","",IF($T173="A+","正常合作 / 维持额度",IF($T173="A","正常合作 / 关注回款",IF($T173="B","控制新增赊销",IF($T173="C","降低额度 / 缩短账期","停供评估 / 法务关注")))))</x:f>
      </x:c>
      <x:c r="V173" s="13" t="n"/>
      <x:c r="W173" s="12" t="n"/>
    </x:row>
    <x:row r="174">
      <x:c r="A174" s="12" t="n"/>
      <x:c r="B174" s="12" t="n"/>
      <x:c r="C174" s="12" t="n"/>
      <x:c r="D174" s="12" t="n"/>
      <x:c r="E174" s="12" t="n"/>
      <x:c r="F174" s="12" t="n"/>
      <x:c r="G174" s="12" t="n"/>
      <x:c r="H174" s="12" t="n"/>
      <x:c r="I174" s="12" t="n"/>
      <x:c r="J174" s="12" t="n"/>
      <x:c r="K174" s="12" t="n"/>
      <x:c r="L174" s="12" t="n"/>
      <x:c r="M174" s="12" t="n"/>
      <x:c r="N174" s="12" t="n"/>
      <x:c r="O174" s="12" t="n"/>
      <x:c r="P174" s="17">
        <x:f>IF($B174="","",MAX(0,40-$D174*Params!$B$2-$E174*Params!$B$3-IF($F174="是",Params!$B$4,0)-IF($G174="是",Params!$B$5,0)-IF($H174&gt;=1,Params!$B$6,0)-IF($I174&gt;90,Params!$B$8,IF($I174&gt;60,Params!$B$7,0))))</x:f>
      </x:c>
      <x:c r="Q174" s="17">
        <x:f>IF($B174="","",MAX(0,MIN(30,$J174+$K174+$L174)))</x:f>
      </x:c>
      <x:c r="R174" s="17">
        <x:f>IF($B174="","",MAX(0,MIN(30,$M174+$N174+$O174)))</x:f>
      </x:c>
      <x:c r="S174" s="17">
        <x:f>IF($B174="","",$P174+$Q174+$R174)</x:f>
      </x:c>
      <x:c r="T174" s="17">
        <x:f>IF($S174="","",IF($S174&gt;=90,"A+",IF($S174&gt;=80,"A",IF($S174&gt;=70,"B",IF($S174&gt;=60,"C","D")))))</x:f>
      </x:c>
      <x:c r="U174" s="17">
        <x:f>IF($T174="","",IF($T174="A+","正常合作 / 维持额度",IF($T174="A","正常合作 / 关注回款",IF($T174="B","控制新增赊销",IF($T174="C","降低额度 / 缩短账期","停供评估 / 法务关注")))))</x:f>
      </x:c>
      <x:c r="V174" s="13" t="n"/>
      <x:c r="W174" s="12" t="n"/>
    </x:row>
    <x:row r="175">
      <x:c r="A175" s="12" t="n"/>
      <x:c r="B175" s="12" t="n"/>
      <x:c r="C175" s="12" t="n"/>
      <x:c r="D175" s="12" t="n"/>
      <x:c r="E175" s="12" t="n"/>
      <x:c r="F175" s="12" t="n"/>
      <x:c r="G175" s="12" t="n"/>
      <x:c r="H175" s="12" t="n"/>
      <x:c r="I175" s="12" t="n"/>
      <x:c r="J175" s="12" t="n"/>
      <x:c r="K175" s="12" t="n"/>
      <x:c r="L175" s="12" t="n"/>
      <x:c r="M175" s="12" t="n"/>
      <x:c r="N175" s="12" t="n"/>
      <x:c r="O175" s="12" t="n"/>
      <x:c r="P175" s="17">
        <x:f>IF($B175="","",MAX(0,40-$D175*Params!$B$2-$E175*Params!$B$3-IF($F175="是",Params!$B$4,0)-IF($G175="是",Params!$B$5,0)-IF($H175&gt;=1,Params!$B$6,0)-IF($I175&gt;90,Params!$B$8,IF($I175&gt;60,Params!$B$7,0))))</x:f>
      </x:c>
      <x:c r="Q175" s="17">
        <x:f>IF($B175="","",MAX(0,MIN(30,$J175+$K175+$L175)))</x:f>
      </x:c>
      <x:c r="R175" s="17">
        <x:f>IF($B175="","",MAX(0,MIN(30,$M175+$N175+$O175)))</x:f>
      </x:c>
      <x:c r="S175" s="17">
        <x:f>IF($B175="","",$P175+$Q175+$R175)</x:f>
      </x:c>
      <x:c r="T175" s="17">
        <x:f>IF($S175="","",IF($S175&gt;=90,"A+",IF($S175&gt;=80,"A",IF($S175&gt;=70,"B",IF($S175&gt;=60,"C","D")))))</x:f>
      </x:c>
      <x:c r="U175" s="17">
        <x:f>IF($T175="","",IF($T175="A+","正常合作 / 维持额度",IF($T175="A","正常合作 / 关注回款",IF($T175="B","控制新增赊销",IF($T175="C","降低额度 / 缩短账期","停供评估 / 法务关注")))))</x:f>
      </x:c>
      <x:c r="V175" s="13" t="n"/>
      <x:c r="W175" s="12" t="n"/>
    </x:row>
    <x:row r="176">
      <x:c r="A176" s="12" t="n"/>
      <x:c r="B176" s="12" t="n"/>
      <x:c r="C176" s="12" t="n"/>
      <x:c r="D176" s="12" t="n"/>
      <x:c r="E176" s="12" t="n"/>
      <x:c r="F176" s="12" t="n"/>
      <x:c r="G176" s="12" t="n"/>
      <x:c r="H176" s="12" t="n"/>
      <x:c r="I176" s="12" t="n"/>
      <x:c r="J176" s="12" t="n"/>
      <x:c r="K176" s="12" t="n"/>
      <x:c r="L176" s="12" t="n"/>
      <x:c r="M176" s="12" t="n"/>
      <x:c r="N176" s="12" t="n"/>
      <x:c r="O176" s="12" t="n"/>
      <x:c r="P176" s="17">
        <x:f>IF($B176="","",MAX(0,40-$D176*Params!$B$2-$E176*Params!$B$3-IF($F176="是",Params!$B$4,0)-IF($G176="是",Params!$B$5,0)-IF($H176&gt;=1,Params!$B$6,0)-IF($I176&gt;90,Params!$B$8,IF($I176&gt;60,Params!$B$7,0))))</x:f>
      </x:c>
      <x:c r="Q176" s="17">
        <x:f>IF($B176="","",MAX(0,MIN(30,$J176+$K176+$L176)))</x:f>
      </x:c>
      <x:c r="R176" s="17">
        <x:f>IF($B176="","",MAX(0,MIN(30,$M176+$N176+$O176)))</x:f>
      </x:c>
      <x:c r="S176" s="17">
        <x:f>IF($B176="","",$P176+$Q176+$R176)</x:f>
      </x:c>
      <x:c r="T176" s="17">
        <x:f>IF($S176="","",IF($S176&gt;=90,"A+",IF($S176&gt;=80,"A",IF($S176&gt;=70,"B",IF($S176&gt;=60,"C","D")))))</x:f>
      </x:c>
      <x:c r="U176" s="17">
        <x:f>IF($T176="","",IF($T176="A+","正常合作 / 维持额度",IF($T176="A","正常合作 / 关注回款",IF($T176="B","控制新增赊销",IF($T176="C","降低额度 / 缩短账期","停供评估 / 法务关注")))))</x:f>
      </x:c>
      <x:c r="V176" s="13" t="n"/>
      <x:c r="W176" s="12" t="n"/>
    </x:row>
    <x:row r="177">
      <x:c r="A177" s="12" t="n"/>
      <x:c r="B177" s="12" t="n"/>
      <x:c r="C177" s="12" t="n"/>
      <x:c r="D177" s="12" t="n"/>
      <x:c r="E177" s="12" t="n"/>
      <x:c r="F177" s="12" t="n"/>
      <x:c r="G177" s="12" t="n"/>
      <x:c r="H177" s="12" t="n"/>
      <x:c r="I177" s="12" t="n"/>
      <x:c r="J177" s="12" t="n"/>
      <x:c r="K177" s="12" t="n"/>
      <x:c r="L177" s="12" t="n"/>
      <x:c r="M177" s="12" t="n"/>
      <x:c r="N177" s="12" t="n"/>
      <x:c r="O177" s="12" t="n"/>
      <x:c r="P177" s="17">
        <x:f>IF($B177="","",MAX(0,40-$D177*Params!$B$2-$E177*Params!$B$3-IF($F177="是",Params!$B$4,0)-IF($G177="是",Params!$B$5,0)-IF($H177&gt;=1,Params!$B$6,0)-IF($I177&gt;90,Params!$B$8,IF($I177&gt;60,Params!$B$7,0))))</x:f>
      </x:c>
      <x:c r="Q177" s="17">
        <x:f>IF($B177="","",MAX(0,MIN(30,$J177+$K177+$L177)))</x:f>
      </x:c>
      <x:c r="R177" s="17">
        <x:f>IF($B177="","",MAX(0,MIN(30,$M177+$N177+$O177)))</x:f>
      </x:c>
      <x:c r="S177" s="17">
        <x:f>IF($B177="","",$P177+$Q177+$R177)</x:f>
      </x:c>
      <x:c r="T177" s="17">
        <x:f>IF($S177="","",IF($S177&gt;=90,"A+",IF($S177&gt;=80,"A",IF($S177&gt;=70,"B",IF($S177&gt;=60,"C","D")))))</x:f>
      </x:c>
      <x:c r="U177" s="17">
        <x:f>IF($T177="","",IF($T177="A+","正常合作 / 维持额度",IF($T177="A","正常合作 / 关注回款",IF($T177="B","控制新增赊销",IF($T177="C","降低额度 / 缩短账期","停供评估 / 法务关注")))))</x:f>
      </x:c>
      <x:c r="V177" s="13" t="n"/>
      <x:c r="W177" s="12" t="n"/>
    </x:row>
    <x:row r="178">
      <x:c r="A178" s="12" t="n"/>
      <x:c r="B178" s="12" t="n"/>
      <x:c r="C178" s="12" t="n"/>
      <x:c r="D178" s="12" t="n"/>
      <x:c r="E178" s="12" t="n"/>
      <x:c r="F178" s="12" t="n"/>
      <x:c r="G178" s="12" t="n"/>
      <x:c r="H178" s="12" t="n"/>
      <x:c r="I178" s="12" t="n"/>
      <x:c r="J178" s="12" t="n"/>
      <x:c r="K178" s="12" t="n"/>
      <x:c r="L178" s="12" t="n"/>
      <x:c r="M178" s="12" t="n"/>
      <x:c r="N178" s="12" t="n"/>
      <x:c r="O178" s="12" t="n"/>
      <x:c r="P178" s="17">
        <x:f>IF($B178="","",MAX(0,40-$D178*Params!$B$2-$E178*Params!$B$3-IF($F178="是",Params!$B$4,0)-IF($G178="是",Params!$B$5,0)-IF($H178&gt;=1,Params!$B$6,0)-IF($I178&gt;90,Params!$B$8,IF($I178&gt;60,Params!$B$7,0))))</x:f>
      </x:c>
      <x:c r="Q178" s="17">
        <x:f>IF($B178="","",MAX(0,MIN(30,$J178+$K178+$L178)))</x:f>
      </x:c>
      <x:c r="R178" s="17">
        <x:f>IF($B178="","",MAX(0,MIN(30,$M178+$N178+$O178)))</x:f>
      </x:c>
      <x:c r="S178" s="17">
        <x:f>IF($B178="","",$P178+$Q178+$R178)</x:f>
      </x:c>
      <x:c r="T178" s="17">
        <x:f>IF($S178="","",IF($S178&gt;=90,"A+",IF($S178&gt;=80,"A",IF($S178&gt;=70,"B",IF($S178&gt;=60,"C","D")))))</x:f>
      </x:c>
      <x:c r="U178" s="17">
        <x:f>IF($T178="","",IF($T178="A+","正常合作 / 维持额度",IF($T178="A","正常合作 / 关注回款",IF($T178="B","控制新增赊销",IF($T178="C","降低额度 / 缩短账期","停供评估 / 法务关注")))))</x:f>
      </x:c>
      <x:c r="V178" s="13" t="n"/>
      <x:c r="W178" s="12" t="n"/>
    </x:row>
    <x:row r="179">
      <x:c r="A179" s="12" t="n"/>
      <x:c r="B179" s="12" t="n"/>
      <x:c r="C179" s="12" t="n"/>
      <x:c r="D179" s="12" t="n"/>
      <x:c r="E179" s="12" t="n"/>
      <x:c r="F179" s="12" t="n"/>
      <x:c r="G179" s="12" t="n"/>
      <x:c r="H179" s="12" t="n"/>
      <x:c r="I179" s="12" t="n"/>
      <x:c r="J179" s="12" t="n"/>
      <x:c r="K179" s="12" t="n"/>
      <x:c r="L179" s="12" t="n"/>
      <x:c r="M179" s="12" t="n"/>
      <x:c r="N179" s="12" t="n"/>
      <x:c r="O179" s="12" t="n"/>
      <x:c r="P179" s="17">
        <x:f>IF($B179="","",MAX(0,40-$D179*Params!$B$2-$E179*Params!$B$3-IF($F179="是",Params!$B$4,0)-IF($G179="是",Params!$B$5,0)-IF($H179&gt;=1,Params!$B$6,0)-IF($I179&gt;90,Params!$B$8,IF($I179&gt;60,Params!$B$7,0))))</x:f>
      </x:c>
      <x:c r="Q179" s="17">
        <x:f>IF($B179="","",MAX(0,MIN(30,$J179+$K179+$L179)))</x:f>
      </x:c>
      <x:c r="R179" s="17">
        <x:f>IF($B179="","",MAX(0,MIN(30,$M179+$N179+$O179)))</x:f>
      </x:c>
      <x:c r="S179" s="17">
        <x:f>IF($B179="","",$P179+$Q179+$R179)</x:f>
      </x:c>
      <x:c r="T179" s="17">
        <x:f>IF($S179="","",IF($S179&gt;=90,"A+",IF($S179&gt;=80,"A",IF($S179&gt;=70,"B",IF($S179&gt;=60,"C","D")))))</x:f>
      </x:c>
      <x:c r="U179" s="17">
        <x:f>IF($T179="","",IF($T179="A+","正常合作 / 维持额度",IF($T179="A","正常合作 / 关注回款",IF($T179="B","控制新增赊销",IF($T179="C","降低额度 / 缩短账期","停供评估 / 法务关注")))))</x:f>
      </x:c>
      <x:c r="V179" s="13" t="n"/>
      <x:c r="W179" s="12" t="n"/>
    </x:row>
    <x:row r="180">
      <x:c r="A180" s="12" t="n"/>
      <x:c r="B180" s="12" t="n"/>
      <x:c r="C180" s="12" t="n"/>
      <x:c r="D180" s="12" t="n"/>
      <x:c r="E180" s="12" t="n"/>
      <x:c r="F180" s="12" t="n"/>
      <x:c r="G180" s="12" t="n"/>
      <x:c r="H180" s="12" t="n"/>
      <x:c r="I180" s="12" t="n"/>
      <x:c r="J180" s="12" t="n"/>
      <x:c r="K180" s="12" t="n"/>
      <x:c r="L180" s="12" t="n"/>
      <x:c r="M180" s="12" t="n"/>
      <x:c r="N180" s="12" t="n"/>
      <x:c r="O180" s="12" t="n"/>
      <x:c r="P180" s="17">
        <x:f>IF($B180="","",MAX(0,40-$D180*Params!$B$2-$E180*Params!$B$3-IF($F180="是",Params!$B$4,0)-IF($G180="是",Params!$B$5,0)-IF($H180&gt;=1,Params!$B$6,0)-IF($I180&gt;90,Params!$B$8,IF($I180&gt;60,Params!$B$7,0))))</x:f>
      </x:c>
      <x:c r="Q180" s="17">
        <x:f>IF($B180="","",MAX(0,MIN(30,$J180+$K180+$L180)))</x:f>
      </x:c>
      <x:c r="R180" s="17">
        <x:f>IF($B180="","",MAX(0,MIN(30,$M180+$N180+$O180)))</x:f>
      </x:c>
      <x:c r="S180" s="17">
        <x:f>IF($B180="","",$P180+$Q180+$R180)</x:f>
      </x:c>
      <x:c r="T180" s="17">
        <x:f>IF($S180="","",IF($S180&gt;=90,"A+",IF($S180&gt;=80,"A",IF($S180&gt;=70,"B",IF($S180&gt;=60,"C","D")))))</x:f>
      </x:c>
      <x:c r="U180" s="17">
        <x:f>IF($T180="","",IF($T180="A+","正常合作 / 维持额度",IF($T180="A","正常合作 / 关注回款",IF($T180="B","控制新增赊销",IF($T180="C","降低额度 / 缩短账期","停供评估 / 法务关注")))))</x:f>
      </x:c>
      <x:c r="V180" s="13" t="n"/>
      <x:c r="W180" s="12" t="n"/>
    </x:row>
    <x:row r="181">
      <x:c r="A181" s="12" t="n"/>
      <x:c r="B181" s="12" t="n"/>
      <x:c r="C181" s="12" t="n"/>
      <x:c r="D181" s="12" t="n"/>
      <x:c r="E181" s="12" t="n"/>
      <x:c r="F181" s="12" t="n"/>
      <x:c r="G181" s="12" t="n"/>
      <x:c r="H181" s="12" t="n"/>
      <x:c r="I181" s="12" t="n"/>
      <x:c r="J181" s="12" t="n"/>
      <x:c r="K181" s="12" t="n"/>
      <x:c r="L181" s="12" t="n"/>
      <x:c r="M181" s="12" t="n"/>
      <x:c r="N181" s="12" t="n"/>
      <x:c r="O181" s="12" t="n"/>
      <x:c r="P181" s="17">
        <x:f>IF($B181="","",MAX(0,40-$D181*Params!$B$2-$E181*Params!$B$3-IF($F181="是",Params!$B$4,0)-IF($G181="是",Params!$B$5,0)-IF($H181&gt;=1,Params!$B$6,0)-IF($I181&gt;90,Params!$B$8,IF($I181&gt;60,Params!$B$7,0))))</x:f>
      </x:c>
      <x:c r="Q181" s="17">
        <x:f>IF($B181="","",MAX(0,MIN(30,$J181+$K181+$L181)))</x:f>
      </x:c>
      <x:c r="R181" s="17">
        <x:f>IF($B181="","",MAX(0,MIN(30,$M181+$N181+$O181)))</x:f>
      </x:c>
      <x:c r="S181" s="17">
        <x:f>IF($B181="","",$P181+$Q181+$R181)</x:f>
      </x:c>
      <x:c r="T181" s="17">
        <x:f>IF($S181="","",IF($S181&gt;=90,"A+",IF($S181&gt;=80,"A",IF($S181&gt;=70,"B",IF($S181&gt;=60,"C","D")))))</x:f>
      </x:c>
      <x:c r="U181" s="17">
        <x:f>IF($T181="","",IF($T181="A+","正常合作 / 维持额度",IF($T181="A","正常合作 / 关注回款",IF($T181="B","控制新增赊销",IF($T181="C","降低额度 / 缩短账期","停供评估 / 法务关注")))))</x:f>
      </x:c>
      <x:c r="V181" s="13" t="n"/>
      <x:c r="W181" s="12" t="n"/>
    </x:row>
    <x:row r="182">
      <x:c r="A182" s="12" t="n"/>
      <x:c r="B182" s="12" t="n"/>
      <x:c r="C182" s="12" t="n"/>
      <x:c r="D182" s="12" t="n"/>
      <x:c r="E182" s="12" t="n"/>
      <x:c r="F182" s="12" t="n"/>
      <x:c r="G182" s="12" t="n"/>
      <x:c r="H182" s="12" t="n"/>
      <x:c r="I182" s="12" t="n"/>
      <x:c r="J182" s="12" t="n"/>
      <x:c r="K182" s="12" t="n"/>
      <x:c r="L182" s="12" t="n"/>
      <x:c r="M182" s="12" t="n"/>
      <x:c r="N182" s="12" t="n"/>
      <x:c r="O182" s="12" t="n"/>
      <x:c r="P182" s="17">
        <x:f>IF($B182="","",MAX(0,40-$D182*Params!$B$2-$E182*Params!$B$3-IF($F182="是",Params!$B$4,0)-IF($G182="是",Params!$B$5,0)-IF($H182&gt;=1,Params!$B$6,0)-IF($I182&gt;90,Params!$B$8,IF($I182&gt;60,Params!$B$7,0))))</x:f>
      </x:c>
      <x:c r="Q182" s="17">
        <x:f>IF($B182="","",MAX(0,MIN(30,$J182+$K182+$L182)))</x:f>
      </x:c>
      <x:c r="R182" s="17">
        <x:f>IF($B182="","",MAX(0,MIN(30,$M182+$N182+$O182)))</x:f>
      </x:c>
      <x:c r="S182" s="17">
        <x:f>IF($B182="","",$P182+$Q182+$R182)</x:f>
      </x:c>
      <x:c r="T182" s="17">
        <x:f>IF($S182="","",IF($S182&gt;=90,"A+",IF($S182&gt;=80,"A",IF($S182&gt;=70,"B",IF($S182&gt;=60,"C","D")))))</x:f>
      </x:c>
      <x:c r="U182" s="17">
        <x:f>IF($T182="","",IF($T182="A+","正常合作 / 维持额度",IF($T182="A","正常合作 / 关注回款",IF($T182="B","控制新增赊销",IF($T182="C","降低额度 / 缩短账期","停供评估 / 法务关注")))))</x:f>
      </x:c>
      <x:c r="V182" s="13" t="n"/>
      <x:c r="W182" s="12" t="n"/>
    </x:row>
    <x:row r="183">
      <x:c r="A183" s="12" t="n"/>
      <x:c r="B183" s="12" t="n"/>
      <x:c r="C183" s="12" t="n"/>
      <x:c r="D183" s="12" t="n"/>
      <x:c r="E183" s="12" t="n"/>
      <x:c r="F183" s="12" t="n"/>
      <x:c r="G183" s="12" t="n"/>
      <x:c r="H183" s="12" t="n"/>
      <x:c r="I183" s="12" t="n"/>
      <x:c r="J183" s="12" t="n"/>
      <x:c r="K183" s="12" t="n"/>
      <x:c r="L183" s="12" t="n"/>
      <x:c r="M183" s="12" t="n"/>
      <x:c r="N183" s="12" t="n"/>
      <x:c r="O183" s="12" t="n"/>
      <x:c r="P183" s="17">
        <x:f>IF($B183="","",MAX(0,40-$D183*Params!$B$2-$E183*Params!$B$3-IF($F183="是",Params!$B$4,0)-IF($G183="是",Params!$B$5,0)-IF($H183&gt;=1,Params!$B$6,0)-IF($I183&gt;90,Params!$B$8,IF($I183&gt;60,Params!$B$7,0))))</x:f>
      </x:c>
      <x:c r="Q183" s="17">
        <x:f>IF($B183="","",MAX(0,MIN(30,$J183+$K183+$L183)))</x:f>
      </x:c>
      <x:c r="R183" s="17">
        <x:f>IF($B183="","",MAX(0,MIN(30,$M183+$N183+$O183)))</x:f>
      </x:c>
      <x:c r="S183" s="17">
        <x:f>IF($B183="","",$P183+$Q183+$R183)</x:f>
      </x:c>
      <x:c r="T183" s="17">
        <x:f>IF($S183="","",IF($S183&gt;=90,"A+",IF($S183&gt;=80,"A",IF($S183&gt;=70,"B",IF($S183&gt;=60,"C","D")))))</x:f>
      </x:c>
      <x:c r="U183" s="17">
        <x:f>IF($T183="","",IF($T183="A+","正常合作 / 维持额度",IF($T183="A","正常合作 / 关注回款",IF($T183="B","控制新增赊销",IF($T183="C","降低额度 / 缩短账期","停供评估 / 法务关注")))))</x:f>
      </x:c>
      <x:c r="V183" s="13" t="n"/>
      <x:c r="W183" s="12" t="n"/>
    </x:row>
    <x:row r="184">
      <x:c r="A184" s="12" t="n"/>
      <x:c r="B184" s="12" t="n"/>
      <x:c r="C184" s="12" t="n"/>
      <x:c r="D184" s="12" t="n"/>
      <x:c r="E184" s="12" t="n"/>
      <x:c r="F184" s="12" t="n"/>
      <x:c r="G184" s="12" t="n"/>
      <x:c r="H184" s="12" t="n"/>
      <x:c r="I184" s="12" t="n"/>
      <x:c r="J184" s="12" t="n"/>
      <x:c r="K184" s="12" t="n"/>
      <x:c r="L184" s="12" t="n"/>
      <x:c r="M184" s="12" t="n"/>
      <x:c r="N184" s="12" t="n"/>
      <x:c r="O184" s="12" t="n"/>
      <x:c r="P184" s="17">
        <x:f>IF($B184="","",MAX(0,40-$D184*Params!$B$2-$E184*Params!$B$3-IF($F184="是",Params!$B$4,0)-IF($G184="是",Params!$B$5,0)-IF($H184&gt;=1,Params!$B$6,0)-IF($I184&gt;90,Params!$B$8,IF($I184&gt;60,Params!$B$7,0))))</x:f>
      </x:c>
      <x:c r="Q184" s="17">
        <x:f>IF($B184="","",MAX(0,MIN(30,$J184+$K184+$L184)))</x:f>
      </x:c>
      <x:c r="R184" s="17">
        <x:f>IF($B184="","",MAX(0,MIN(30,$M184+$N184+$O184)))</x:f>
      </x:c>
      <x:c r="S184" s="17">
        <x:f>IF($B184="","",$P184+$Q184+$R184)</x:f>
      </x:c>
      <x:c r="T184" s="17">
        <x:f>IF($S184="","",IF($S184&gt;=90,"A+",IF($S184&gt;=80,"A",IF($S184&gt;=70,"B",IF($S184&gt;=60,"C","D")))))</x:f>
      </x:c>
      <x:c r="U184" s="17">
        <x:f>IF($T184="","",IF($T184="A+","正常合作 / 维持额度",IF($T184="A","正常合作 / 关注回款",IF($T184="B","控制新增赊销",IF($T184="C","降低额度 / 缩短账期","停供评估 / 法务关注")))))</x:f>
      </x:c>
      <x:c r="V184" s="13" t="n"/>
      <x:c r="W184" s="12" t="n"/>
    </x:row>
    <x:row r="185">
      <x:c r="A185" s="12" t="n"/>
      <x:c r="B185" s="12" t="n"/>
      <x:c r="C185" s="12" t="n"/>
      <x:c r="D185" s="12" t="n"/>
      <x:c r="E185" s="12" t="n"/>
      <x:c r="F185" s="12" t="n"/>
      <x:c r="G185" s="12" t="n"/>
      <x:c r="H185" s="12" t="n"/>
      <x:c r="I185" s="12" t="n"/>
      <x:c r="J185" s="12" t="n"/>
      <x:c r="K185" s="12" t="n"/>
      <x:c r="L185" s="12" t="n"/>
      <x:c r="M185" s="12" t="n"/>
      <x:c r="N185" s="12" t="n"/>
      <x:c r="O185" s="12" t="n"/>
      <x:c r="P185" s="17">
        <x:f>IF($B185="","",MAX(0,40-$D185*Params!$B$2-$E185*Params!$B$3-IF($F185="是",Params!$B$4,0)-IF($G185="是",Params!$B$5,0)-IF($H185&gt;=1,Params!$B$6,0)-IF($I185&gt;90,Params!$B$8,IF($I185&gt;60,Params!$B$7,0))))</x:f>
      </x:c>
      <x:c r="Q185" s="17">
        <x:f>IF($B185="","",MAX(0,MIN(30,$J185+$K185+$L185)))</x:f>
      </x:c>
      <x:c r="R185" s="17">
        <x:f>IF($B185="","",MAX(0,MIN(30,$M185+$N185+$O185)))</x:f>
      </x:c>
      <x:c r="S185" s="17">
        <x:f>IF($B185="","",$P185+$Q185+$R185)</x:f>
      </x:c>
      <x:c r="T185" s="17">
        <x:f>IF($S185="","",IF($S185&gt;=90,"A+",IF($S185&gt;=80,"A",IF($S185&gt;=70,"B",IF($S185&gt;=60,"C","D")))))</x:f>
      </x:c>
      <x:c r="U185" s="17">
        <x:f>IF($T185="","",IF($T185="A+","正常合作 / 维持额度",IF($T185="A","正常合作 / 关注回款",IF($T185="B","控制新增赊销",IF($T185="C","降低额度 / 缩短账期","停供评估 / 法务关注")))))</x:f>
      </x:c>
      <x:c r="V185" s="13" t="n"/>
      <x:c r="W185" s="12" t="n"/>
    </x:row>
    <x:row r="186">
      <x:c r="A186" s="12" t="n"/>
      <x:c r="B186" s="12" t="n"/>
      <x:c r="C186" s="12" t="n"/>
      <x:c r="D186" s="12" t="n"/>
      <x:c r="E186" s="12" t="n"/>
      <x:c r="F186" s="12" t="n"/>
      <x:c r="G186" s="12" t="n"/>
      <x:c r="H186" s="12" t="n"/>
      <x:c r="I186" s="12" t="n"/>
      <x:c r="J186" s="12" t="n"/>
      <x:c r="K186" s="12" t="n"/>
      <x:c r="L186" s="12" t="n"/>
      <x:c r="M186" s="12" t="n"/>
      <x:c r="N186" s="12" t="n"/>
      <x:c r="O186" s="12" t="n"/>
      <x:c r="P186" s="17">
        <x:f>IF($B186="","",MAX(0,40-$D186*Params!$B$2-$E186*Params!$B$3-IF($F186="是",Params!$B$4,0)-IF($G186="是",Params!$B$5,0)-IF($H186&gt;=1,Params!$B$6,0)-IF($I186&gt;90,Params!$B$8,IF($I186&gt;60,Params!$B$7,0))))</x:f>
      </x:c>
      <x:c r="Q186" s="17">
        <x:f>IF($B186="","",MAX(0,MIN(30,$J186+$K186+$L186)))</x:f>
      </x:c>
      <x:c r="R186" s="17">
        <x:f>IF($B186="","",MAX(0,MIN(30,$M186+$N186+$O186)))</x:f>
      </x:c>
      <x:c r="S186" s="17">
        <x:f>IF($B186="","",$P186+$Q186+$R186)</x:f>
      </x:c>
      <x:c r="T186" s="17">
        <x:f>IF($S186="","",IF($S186&gt;=90,"A+",IF($S186&gt;=80,"A",IF($S186&gt;=70,"B",IF($S186&gt;=60,"C","D")))))</x:f>
      </x:c>
      <x:c r="U186" s="17">
        <x:f>IF($T186="","",IF($T186="A+","正常合作 / 维持额度",IF($T186="A","正常合作 / 关注回款",IF($T186="B","控制新增赊销",IF($T186="C","降低额度 / 缩短账期","停供评估 / 法务关注")))))</x:f>
      </x:c>
      <x:c r="V186" s="13" t="n"/>
      <x:c r="W186" s="12" t="n"/>
    </x:row>
    <x:row r="187">
      <x:c r="A187" s="12" t="n"/>
      <x:c r="B187" s="12" t="n"/>
      <x:c r="C187" s="12" t="n"/>
      <x:c r="D187" s="12" t="n"/>
      <x:c r="E187" s="12" t="n"/>
      <x:c r="F187" s="12" t="n"/>
      <x:c r="G187" s="12" t="n"/>
      <x:c r="H187" s="12" t="n"/>
      <x:c r="I187" s="12" t="n"/>
      <x:c r="J187" s="12" t="n"/>
      <x:c r="K187" s="12" t="n"/>
      <x:c r="L187" s="12" t="n"/>
      <x:c r="M187" s="12" t="n"/>
      <x:c r="N187" s="12" t="n"/>
      <x:c r="O187" s="12" t="n"/>
      <x:c r="P187" s="17">
        <x:f>IF($B187="","",MAX(0,40-$D187*Params!$B$2-$E187*Params!$B$3-IF($F187="是",Params!$B$4,0)-IF($G187="是",Params!$B$5,0)-IF($H187&gt;=1,Params!$B$6,0)-IF($I187&gt;90,Params!$B$8,IF($I187&gt;60,Params!$B$7,0))))</x:f>
      </x:c>
      <x:c r="Q187" s="17">
        <x:f>IF($B187="","",MAX(0,MIN(30,$J187+$K187+$L187)))</x:f>
      </x:c>
      <x:c r="R187" s="17">
        <x:f>IF($B187="","",MAX(0,MIN(30,$M187+$N187+$O187)))</x:f>
      </x:c>
      <x:c r="S187" s="17">
        <x:f>IF($B187="","",$P187+$Q187+$R187)</x:f>
      </x:c>
      <x:c r="T187" s="17">
        <x:f>IF($S187="","",IF($S187&gt;=90,"A+",IF($S187&gt;=80,"A",IF($S187&gt;=70,"B",IF($S187&gt;=60,"C","D")))))</x:f>
      </x:c>
      <x:c r="U187" s="17">
        <x:f>IF($T187="","",IF($T187="A+","正常合作 / 维持额度",IF($T187="A","正常合作 / 关注回款",IF($T187="B","控制新增赊销",IF($T187="C","降低额度 / 缩短账期","停供评估 / 法务关注")))))</x:f>
      </x:c>
      <x:c r="V187" s="13" t="n"/>
      <x:c r="W187" s="12" t="n"/>
    </x:row>
    <x:row r="188">
      <x:c r="A188" s="12" t="n"/>
      <x:c r="B188" s="12" t="n"/>
      <x:c r="C188" s="12" t="n"/>
      <x:c r="D188" s="12" t="n"/>
      <x:c r="E188" s="12" t="n"/>
      <x:c r="F188" s="12" t="n"/>
      <x:c r="G188" s="12" t="n"/>
      <x:c r="H188" s="12" t="n"/>
      <x:c r="I188" s="12" t="n"/>
      <x:c r="J188" s="12" t="n"/>
      <x:c r="K188" s="12" t="n"/>
      <x:c r="L188" s="12" t="n"/>
      <x:c r="M188" s="12" t="n"/>
      <x:c r="N188" s="12" t="n"/>
      <x:c r="O188" s="12" t="n"/>
      <x:c r="P188" s="17">
        <x:f>IF($B188="","",MAX(0,40-$D188*Params!$B$2-$E188*Params!$B$3-IF($F188="是",Params!$B$4,0)-IF($G188="是",Params!$B$5,0)-IF($H188&gt;=1,Params!$B$6,0)-IF($I188&gt;90,Params!$B$8,IF($I188&gt;60,Params!$B$7,0))))</x:f>
      </x:c>
      <x:c r="Q188" s="17">
        <x:f>IF($B188="","",MAX(0,MIN(30,$J188+$K188+$L188)))</x:f>
      </x:c>
      <x:c r="R188" s="17">
        <x:f>IF($B188="","",MAX(0,MIN(30,$M188+$N188+$O188)))</x:f>
      </x:c>
      <x:c r="S188" s="17">
        <x:f>IF($B188="","",$P188+$Q188+$R188)</x:f>
      </x:c>
      <x:c r="T188" s="17">
        <x:f>IF($S188="","",IF($S188&gt;=90,"A+",IF($S188&gt;=80,"A",IF($S188&gt;=70,"B",IF($S188&gt;=60,"C","D")))))</x:f>
      </x:c>
      <x:c r="U188" s="17">
        <x:f>IF($T188="","",IF($T188="A+","正常合作 / 维持额度",IF($T188="A","正常合作 / 关注回款",IF($T188="B","控制新增赊销",IF($T188="C","降低额度 / 缩短账期","停供评估 / 法务关注")))))</x:f>
      </x:c>
      <x:c r="V188" s="13" t="n"/>
      <x:c r="W188" s="12" t="n"/>
    </x:row>
    <x:row r="189">
      <x:c r="A189" s="12" t="n"/>
      <x:c r="B189" s="12" t="n"/>
      <x:c r="C189" s="12" t="n"/>
      <x:c r="D189" s="12" t="n"/>
      <x:c r="E189" s="12" t="n"/>
      <x:c r="F189" s="12" t="n"/>
      <x:c r="G189" s="12" t="n"/>
      <x:c r="H189" s="12" t="n"/>
      <x:c r="I189" s="12" t="n"/>
      <x:c r="J189" s="12" t="n"/>
      <x:c r="K189" s="12" t="n"/>
      <x:c r="L189" s="12" t="n"/>
      <x:c r="M189" s="12" t="n"/>
      <x:c r="N189" s="12" t="n"/>
      <x:c r="O189" s="12" t="n"/>
      <x:c r="P189" s="17">
        <x:f>IF($B189="","",MAX(0,40-$D189*Params!$B$2-$E189*Params!$B$3-IF($F189="是",Params!$B$4,0)-IF($G189="是",Params!$B$5,0)-IF($H189&gt;=1,Params!$B$6,0)-IF($I189&gt;90,Params!$B$8,IF($I189&gt;60,Params!$B$7,0))))</x:f>
      </x:c>
      <x:c r="Q189" s="17">
        <x:f>IF($B189="","",MAX(0,MIN(30,$J189+$K189+$L189)))</x:f>
      </x:c>
      <x:c r="R189" s="17">
        <x:f>IF($B189="","",MAX(0,MIN(30,$M189+$N189+$O189)))</x:f>
      </x:c>
      <x:c r="S189" s="17">
        <x:f>IF($B189="","",$P189+$Q189+$R189)</x:f>
      </x:c>
      <x:c r="T189" s="17">
        <x:f>IF($S189="","",IF($S189&gt;=90,"A+",IF($S189&gt;=80,"A",IF($S189&gt;=70,"B",IF($S189&gt;=60,"C","D")))))</x:f>
      </x:c>
      <x:c r="U189" s="17">
        <x:f>IF($T189="","",IF($T189="A+","正常合作 / 维持额度",IF($T189="A","正常合作 / 关注回款",IF($T189="B","控制新增赊销",IF($T189="C","降低额度 / 缩短账期","停供评估 / 法务关注")))))</x:f>
      </x:c>
      <x:c r="V189" s="13" t="n"/>
      <x:c r="W189" s="12" t="n"/>
    </x:row>
    <x:row r="190">
      <x:c r="A190" s="12" t="n"/>
      <x:c r="B190" s="12" t="n"/>
      <x:c r="C190" s="12" t="n"/>
      <x:c r="D190" s="12" t="n"/>
      <x:c r="E190" s="12" t="n"/>
      <x:c r="F190" s="12" t="n"/>
      <x:c r="G190" s="12" t="n"/>
      <x:c r="H190" s="12" t="n"/>
      <x:c r="I190" s="12" t="n"/>
      <x:c r="J190" s="12" t="n"/>
      <x:c r="K190" s="12" t="n"/>
      <x:c r="L190" s="12" t="n"/>
      <x:c r="M190" s="12" t="n"/>
      <x:c r="N190" s="12" t="n"/>
      <x:c r="O190" s="12" t="n"/>
      <x:c r="P190" s="17">
        <x:f>IF($B190="","",MAX(0,40-$D190*Params!$B$2-$E190*Params!$B$3-IF($F190="是",Params!$B$4,0)-IF($G190="是",Params!$B$5,0)-IF($H190&gt;=1,Params!$B$6,0)-IF($I190&gt;90,Params!$B$8,IF($I190&gt;60,Params!$B$7,0))))</x:f>
      </x:c>
      <x:c r="Q190" s="17">
        <x:f>IF($B190="","",MAX(0,MIN(30,$J190+$K190+$L190)))</x:f>
      </x:c>
      <x:c r="R190" s="17">
        <x:f>IF($B190="","",MAX(0,MIN(30,$M190+$N190+$O190)))</x:f>
      </x:c>
      <x:c r="S190" s="17">
        <x:f>IF($B190="","",$P190+$Q190+$R190)</x:f>
      </x:c>
      <x:c r="T190" s="17">
        <x:f>IF($S190="","",IF($S190&gt;=90,"A+",IF($S190&gt;=80,"A",IF($S190&gt;=70,"B",IF($S190&gt;=60,"C","D")))))</x:f>
      </x:c>
      <x:c r="U190" s="17">
        <x:f>IF($T190="","",IF($T190="A+","正常合作 / 维持额度",IF($T190="A","正常合作 / 关注回款",IF($T190="B","控制新增赊销",IF($T190="C","降低额度 / 缩短账期","停供评估 / 法务关注")))))</x:f>
      </x:c>
      <x:c r="V190" s="13" t="n"/>
      <x:c r="W190" s="12" t="n"/>
    </x:row>
    <x:row r="191">
      <x:c r="A191" s="12" t="n"/>
      <x:c r="B191" s="12" t="n"/>
      <x:c r="C191" s="12" t="n"/>
      <x:c r="D191" s="12" t="n"/>
      <x:c r="E191" s="12" t="n"/>
      <x:c r="F191" s="12" t="n"/>
      <x:c r="G191" s="12" t="n"/>
      <x:c r="H191" s="12" t="n"/>
      <x:c r="I191" s="12" t="n"/>
      <x:c r="J191" s="12" t="n"/>
      <x:c r="K191" s="12" t="n"/>
      <x:c r="L191" s="12" t="n"/>
      <x:c r="M191" s="12" t="n"/>
      <x:c r="N191" s="12" t="n"/>
      <x:c r="O191" s="12" t="n"/>
      <x:c r="P191" s="17">
        <x:f>IF($B191="","",MAX(0,40-$D191*Params!$B$2-$E191*Params!$B$3-IF($F191="是",Params!$B$4,0)-IF($G191="是",Params!$B$5,0)-IF($H191&gt;=1,Params!$B$6,0)-IF($I191&gt;90,Params!$B$8,IF($I191&gt;60,Params!$B$7,0))))</x:f>
      </x:c>
      <x:c r="Q191" s="17">
        <x:f>IF($B191="","",MAX(0,MIN(30,$J191+$K191+$L191)))</x:f>
      </x:c>
      <x:c r="R191" s="17">
        <x:f>IF($B191="","",MAX(0,MIN(30,$M191+$N191+$O191)))</x:f>
      </x:c>
      <x:c r="S191" s="17">
        <x:f>IF($B191="","",$P191+$Q191+$R191)</x:f>
      </x:c>
      <x:c r="T191" s="17">
        <x:f>IF($S191="","",IF($S191&gt;=90,"A+",IF($S191&gt;=80,"A",IF($S191&gt;=70,"B",IF($S191&gt;=60,"C","D")))))</x:f>
      </x:c>
      <x:c r="U191" s="17">
        <x:f>IF($T191="","",IF($T191="A+","正常合作 / 维持额度",IF($T191="A","正常合作 / 关注回款",IF($T191="B","控制新增赊销",IF($T191="C","降低额度 / 缩短账期","停供评估 / 法务关注")))))</x:f>
      </x:c>
      <x:c r="V191" s="13" t="n"/>
      <x:c r="W191" s="12" t="n"/>
    </x:row>
    <x:row r="192">
      <x:c r="A192" s="12" t="n"/>
      <x:c r="B192" s="12" t="n"/>
      <x:c r="C192" s="12" t="n"/>
      <x:c r="D192" s="12" t="n"/>
      <x:c r="E192" s="12" t="n"/>
      <x:c r="F192" s="12" t="n"/>
      <x:c r="G192" s="12" t="n"/>
      <x:c r="H192" s="12" t="n"/>
      <x:c r="I192" s="12" t="n"/>
      <x:c r="J192" s="12" t="n"/>
      <x:c r="K192" s="12" t="n"/>
      <x:c r="L192" s="12" t="n"/>
      <x:c r="M192" s="12" t="n"/>
      <x:c r="N192" s="12" t="n"/>
      <x:c r="O192" s="12" t="n"/>
      <x:c r="P192" s="17">
        <x:f>IF($B192="","",MAX(0,40-$D192*Params!$B$2-$E192*Params!$B$3-IF($F192="是",Params!$B$4,0)-IF($G192="是",Params!$B$5,0)-IF($H192&gt;=1,Params!$B$6,0)-IF($I192&gt;90,Params!$B$8,IF($I192&gt;60,Params!$B$7,0))))</x:f>
      </x:c>
      <x:c r="Q192" s="17">
        <x:f>IF($B192="","",MAX(0,MIN(30,$J192+$K192+$L192)))</x:f>
      </x:c>
      <x:c r="R192" s="17">
        <x:f>IF($B192="","",MAX(0,MIN(30,$M192+$N192+$O192)))</x:f>
      </x:c>
      <x:c r="S192" s="17">
        <x:f>IF($B192="","",$P192+$Q192+$R192)</x:f>
      </x:c>
      <x:c r="T192" s="17">
        <x:f>IF($S192="","",IF($S192&gt;=90,"A+",IF($S192&gt;=80,"A",IF($S192&gt;=70,"B",IF($S192&gt;=60,"C","D")))))</x:f>
      </x:c>
      <x:c r="U192" s="17">
        <x:f>IF($T192="","",IF($T192="A+","正常合作 / 维持额度",IF($T192="A","正常合作 / 关注回款",IF($T192="B","控制新增赊销",IF($T192="C","降低额度 / 缩短账期","停供评估 / 法务关注")))))</x:f>
      </x:c>
      <x:c r="V192" s="13" t="n"/>
      <x:c r="W192" s="12" t="n"/>
    </x:row>
    <x:row r="193">
      <x:c r="A193" s="12" t="n"/>
      <x:c r="B193" s="12" t="n"/>
      <x:c r="C193" s="12" t="n"/>
      <x:c r="D193" s="12" t="n"/>
      <x:c r="E193" s="12" t="n"/>
      <x:c r="F193" s="12" t="n"/>
      <x:c r="G193" s="12" t="n"/>
      <x:c r="H193" s="12" t="n"/>
      <x:c r="I193" s="12" t="n"/>
      <x:c r="J193" s="12" t="n"/>
      <x:c r="K193" s="12" t="n"/>
      <x:c r="L193" s="12" t="n"/>
      <x:c r="M193" s="12" t="n"/>
      <x:c r="N193" s="12" t="n"/>
      <x:c r="O193" s="12" t="n"/>
      <x:c r="P193" s="17">
        <x:f>IF($B193="","",MAX(0,40-$D193*Params!$B$2-$E193*Params!$B$3-IF($F193="是",Params!$B$4,0)-IF($G193="是",Params!$B$5,0)-IF($H193&gt;=1,Params!$B$6,0)-IF($I193&gt;90,Params!$B$8,IF($I193&gt;60,Params!$B$7,0))))</x:f>
      </x:c>
      <x:c r="Q193" s="17">
        <x:f>IF($B193="","",MAX(0,MIN(30,$J193+$K193+$L193)))</x:f>
      </x:c>
      <x:c r="R193" s="17">
        <x:f>IF($B193="","",MAX(0,MIN(30,$M193+$N193+$O193)))</x:f>
      </x:c>
      <x:c r="S193" s="17">
        <x:f>IF($B193="","",$P193+$Q193+$R193)</x:f>
      </x:c>
      <x:c r="T193" s="17">
        <x:f>IF($S193="","",IF($S193&gt;=90,"A+",IF($S193&gt;=80,"A",IF($S193&gt;=70,"B",IF($S193&gt;=60,"C","D")))))</x:f>
      </x:c>
      <x:c r="U193" s="17">
        <x:f>IF($T193="","",IF($T193="A+","正常合作 / 维持额度",IF($T193="A","正常合作 / 关注回款",IF($T193="B","控制新增赊销",IF($T193="C","降低额度 / 缩短账期","停供评估 / 法务关注")))))</x:f>
      </x:c>
      <x:c r="V193" s="13" t="n"/>
      <x:c r="W193" s="12" t="n"/>
    </x:row>
    <x:row r="194">
      <x:c r="A194" s="12" t="n"/>
      <x:c r="B194" s="12" t="n"/>
      <x:c r="C194" s="12" t="n"/>
      <x:c r="D194" s="12" t="n"/>
      <x:c r="E194" s="12" t="n"/>
      <x:c r="F194" s="12" t="n"/>
      <x:c r="G194" s="12" t="n"/>
      <x:c r="H194" s="12" t="n"/>
      <x:c r="I194" s="12" t="n"/>
      <x:c r="J194" s="12" t="n"/>
      <x:c r="K194" s="12" t="n"/>
      <x:c r="L194" s="12" t="n"/>
      <x:c r="M194" s="12" t="n"/>
      <x:c r="N194" s="12" t="n"/>
      <x:c r="O194" s="12" t="n"/>
      <x:c r="P194" s="17">
        <x:f>IF($B194="","",MAX(0,40-$D194*Params!$B$2-$E194*Params!$B$3-IF($F194="是",Params!$B$4,0)-IF($G194="是",Params!$B$5,0)-IF($H194&gt;=1,Params!$B$6,0)-IF($I194&gt;90,Params!$B$8,IF($I194&gt;60,Params!$B$7,0))))</x:f>
      </x:c>
      <x:c r="Q194" s="17">
        <x:f>IF($B194="","",MAX(0,MIN(30,$J194+$K194+$L194)))</x:f>
      </x:c>
      <x:c r="R194" s="17">
        <x:f>IF($B194="","",MAX(0,MIN(30,$M194+$N194+$O194)))</x:f>
      </x:c>
      <x:c r="S194" s="17">
        <x:f>IF($B194="","",$P194+$Q194+$R194)</x:f>
      </x:c>
      <x:c r="T194" s="17">
        <x:f>IF($S194="","",IF($S194&gt;=90,"A+",IF($S194&gt;=80,"A",IF($S194&gt;=70,"B",IF($S194&gt;=60,"C","D")))))</x:f>
      </x:c>
      <x:c r="U194" s="17">
        <x:f>IF($T194="","",IF($T194="A+","正常合作 / 维持额度",IF($T194="A","正常合作 / 关注回款",IF($T194="B","控制新增赊销",IF($T194="C","降低额度 / 缩短账期","停供评估 / 法务关注")))))</x:f>
      </x:c>
      <x:c r="V194" s="13" t="n"/>
      <x:c r="W194" s="12" t="n"/>
    </x:row>
    <x:row r="195">
      <x:c r="A195" s="12" t="n"/>
      <x:c r="B195" s="12" t="n"/>
      <x:c r="C195" s="12" t="n"/>
      <x:c r="D195" s="12" t="n"/>
      <x:c r="E195" s="12" t="n"/>
      <x:c r="F195" s="12" t="n"/>
      <x:c r="G195" s="12" t="n"/>
      <x:c r="H195" s="12" t="n"/>
      <x:c r="I195" s="12" t="n"/>
      <x:c r="J195" s="12" t="n"/>
      <x:c r="K195" s="12" t="n"/>
      <x:c r="L195" s="12" t="n"/>
      <x:c r="M195" s="12" t="n"/>
      <x:c r="N195" s="12" t="n"/>
      <x:c r="O195" s="12" t="n"/>
      <x:c r="P195" s="17">
        <x:f>IF($B195="","",MAX(0,40-$D195*Params!$B$2-$E195*Params!$B$3-IF($F195="是",Params!$B$4,0)-IF($G195="是",Params!$B$5,0)-IF($H195&gt;=1,Params!$B$6,0)-IF($I195&gt;90,Params!$B$8,IF($I195&gt;60,Params!$B$7,0))))</x:f>
      </x:c>
      <x:c r="Q195" s="17">
        <x:f>IF($B195="","",MAX(0,MIN(30,$J195+$K195+$L195)))</x:f>
      </x:c>
      <x:c r="R195" s="17">
        <x:f>IF($B195="","",MAX(0,MIN(30,$M195+$N195+$O195)))</x:f>
      </x:c>
      <x:c r="S195" s="17">
        <x:f>IF($B195="","",$P195+$Q195+$R195)</x:f>
      </x:c>
      <x:c r="T195" s="17">
        <x:f>IF($S195="","",IF($S195&gt;=90,"A+",IF($S195&gt;=80,"A",IF($S195&gt;=70,"B",IF($S195&gt;=60,"C","D")))))</x:f>
      </x:c>
      <x:c r="U195" s="17">
        <x:f>IF($T195="","",IF($T195="A+","正常合作 / 维持额度",IF($T195="A","正常合作 / 关注回款",IF($T195="B","控制新增赊销",IF($T195="C","降低额度 / 缩短账期","停供评估 / 法务关注")))))</x:f>
      </x:c>
      <x:c r="V195" s="13" t="n"/>
      <x:c r="W195" s="12" t="n"/>
    </x:row>
    <x:row r="196">
      <x:c r="A196" s="12" t="n"/>
      <x:c r="B196" s="12" t="n"/>
      <x:c r="C196" s="12" t="n"/>
      <x:c r="D196" s="12" t="n"/>
      <x:c r="E196" s="12" t="n"/>
      <x:c r="F196" s="12" t="n"/>
      <x:c r="G196" s="12" t="n"/>
      <x:c r="H196" s="12" t="n"/>
      <x:c r="I196" s="12" t="n"/>
      <x:c r="J196" s="12" t="n"/>
      <x:c r="K196" s="12" t="n"/>
      <x:c r="L196" s="12" t="n"/>
      <x:c r="M196" s="12" t="n"/>
      <x:c r="N196" s="12" t="n"/>
      <x:c r="O196" s="12" t="n"/>
      <x:c r="P196" s="17">
        <x:f>IF($B196="","",MAX(0,40-$D196*Params!$B$2-$E196*Params!$B$3-IF($F196="是",Params!$B$4,0)-IF($G196="是",Params!$B$5,0)-IF($H196&gt;=1,Params!$B$6,0)-IF($I196&gt;90,Params!$B$8,IF($I196&gt;60,Params!$B$7,0))))</x:f>
      </x:c>
      <x:c r="Q196" s="17">
        <x:f>IF($B196="","",MAX(0,MIN(30,$J196+$K196+$L196)))</x:f>
      </x:c>
      <x:c r="R196" s="17">
        <x:f>IF($B196="","",MAX(0,MIN(30,$M196+$N196+$O196)))</x:f>
      </x:c>
      <x:c r="S196" s="17">
        <x:f>IF($B196="","",$P196+$Q196+$R196)</x:f>
      </x:c>
      <x:c r="T196" s="17">
        <x:f>IF($S196="","",IF($S196&gt;=90,"A+",IF($S196&gt;=80,"A",IF($S196&gt;=70,"B",IF($S196&gt;=60,"C","D")))))</x:f>
      </x:c>
      <x:c r="U196" s="17">
        <x:f>IF($T196="","",IF($T196="A+","正常合作 / 维持额度",IF($T196="A","正常合作 / 关注回款",IF($T196="B","控制新增赊销",IF($T196="C","降低额度 / 缩短账期","停供评估 / 法务关注")))))</x:f>
      </x:c>
      <x:c r="V196" s="13" t="n"/>
      <x:c r="W196" s="12" t="n"/>
    </x:row>
    <x:row r="197">
      <x:c r="A197" s="12" t="n"/>
      <x:c r="B197" s="12" t="n"/>
      <x:c r="C197" s="12" t="n"/>
      <x:c r="D197" s="12" t="n"/>
      <x:c r="E197" s="12" t="n"/>
      <x:c r="F197" s="12" t="n"/>
      <x:c r="G197" s="12" t="n"/>
      <x:c r="H197" s="12" t="n"/>
      <x:c r="I197" s="12" t="n"/>
      <x:c r="J197" s="12" t="n"/>
      <x:c r="K197" s="12" t="n"/>
      <x:c r="L197" s="12" t="n"/>
      <x:c r="M197" s="12" t="n"/>
      <x:c r="N197" s="12" t="n"/>
      <x:c r="O197" s="12" t="n"/>
      <x:c r="P197" s="17">
        <x:f>IF($B197="","",MAX(0,40-$D197*Params!$B$2-$E197*Params!$B$3-IF($F197="是",Params!$B$4,0)-IF($G197="是",Params!$B$5,0)-IF($H197&gt;=1,Params!$B$6,0)-IF($I197&gt;90,Params!$B$8,IF($I197&gt;60,Params!$B$7,0))))</x:f>
      </x:c>
      <x:c r="Q197" s="17">
        <x:f>IF($B197="","",MAX(0,MIN(30,$J197+$K197+$L197)))</x:f>
      </x:c>
      <x:c r="R197" s="17">
        <x:f>IF($B197="","",MAX(0,MIN(30,$M197+$N197+$O197)))</x:f>
      </x:c>
      <x:c r="S197" s="17">
        <x:f>IF($B197="","",$P197+$Q197+$R197)</x:f>
      </x:c>
      <x:c r="T197" s="17">
        <x:f>IF($S197="","",IF($S197&gt;=90,"A+",IF($S197&gt;=80,"A",IF($S197&gt;=70,"B",IF($S197&gt;=60,"C","D")))))</x:f>
      </x:c>
      <x:c r="U197" s="17">
        <x:f>IF($T197="","",IF($T197="A+","正常合作 / 维持额度",IF($T197="A","正常合作 / 关注回款",IF($T197="B","控制新增赊销",IF($T197="C","降低额度 / 缩短账期","停供评估 / 法务关注")))))</x:f>
      </x:c>
      <x:c r="V197" s="13" t="n"/>
      <x:c r="W197" s="12" t="n"/>
    </x:row>
    <x:row r="198">
      <x:c r="A198" s="12" t="n"/>
      <x:c r="B198" s="12" t="n"/>
      <x:c r="C198" s="12" t="n"/>
      <x:c r="D198" s="12" t="n"/>
      <x:c r="E198" s="12" t="n"/>
      <x:c r="F198" s="12" t="n"/>
      <x:c r="G198" s="12" t="n"/>
      <x:c r="H198" s="12" t="n"/>
      <x:c r="I198" s="12" t="n"/>
      <x:c r="J198" s="12" t="n"/>
      <x:c r="K198" s="12" t="n"/>
      <x:c r="L198" s="12" t="n"/>
      <x:c r="M198" s="12" t="n"/>
      <x:c r="N198" s="12" t="n"/>
      <x:c r="O198" s="12" t="n"/>
      <x:c r="P198" s="17">
        <x:f>IF($B198="","",MAX(0,40-$D198*Params!$B$2-$E198*Params!$B$3-IF($F198="是",Params!$B$4,0)-IF($G198="是",Params!$B$5,0)-IF($H198&gt;=1,Params!$B$6,0)-IF($I198&gt;90,Params!$B$8,IF($I198&gt;60,Params!$B$7,0))))</x:f>
      </x:c>
      <x:c r="Q198" s="17">
        <x:f>IF($B198="","",MAX(0,MIN(30,$J198+$K198+$L198)))</x:f>
      </x:c>
      <x:c r="R198" s="17">
        <x:f>IF($B198="","",MAX(0,MIN(30,$M198+$N198+$O198)))</x:f>
      </x:c>
      <x:c r="S198" s="17">
        <x:f>IF($B198="","",$P198+$Q198+$R198)</x:f>
      </x:c>
      <x:c r="T198" s="17">
        <x:f>IF($S198="","",IF($S198&gt;=90,"A+",IF($S198&gt;=80,"A",IF($S198&gt;=70,"B",IF($S198&gt;=60,"C","D")))))</x:f>
      </x:c>
      <x:c r="U198" s="17">
        <x:f>IF($T198="","",IF($T198="A+","正常合作 / 维持额度",IF($T198="A","正常合作 / 关注回款",IF($T198="B","控制新增赊销",IF($T198="C","降低额度 / 缩短账期","停供评估 / 法务关注")))))</x:f>
      </x:c>
      <x:c r="V198" s="13" t="n"/>
      <x:c r="W198" s="12" t="n"/>
    </x:row>
    <x:row r="199">
      <x:c r="A199" s="12" t="n"/>
      <x:c r="B199" s="12" t="n"/>
      <x:c r="C199" s="12" t="n"/>
      <x:c r="D199" s="12" t="n"/>
      <x:c r="E199" s="12" t="n"/>
      <x:c r="F199" s="12" t="n"/>
      <x:c r="G199" s="12" t="n"/>
      <x:c r="H199" s="12" t="n"/>
      <x:c r="I199" s="12" t="n"/>
      <x:c r="J199" s="12" t="n"/>
      <x:c r="K199" s="12" t="n"/>
      <x:c r="L199" s="12" t="n"/>
      <x:c r="M199" s="12" t="n"/>
      <x:c r="N199" s="12" t="n"/>
      <x:c r="O199" s="12" t="n"/>
      <x:c r="P199" s="17">
        <x:f>IF($B199="","",MAX(0,40-$D199*Params!$B$2-$E199*Params!$B$3-IF($F199="是",Params!$B$4,0)-IF($G199="是",Params!$B$5,0)-IF($H199&gt;=1,Params!$B$6,0)-IF($I199&gt;90,Params!$B$8,IF($I199&gt;60,Params!$B$7,0))))</x:f>
      </x:c>
      <x:c r="Q199" s="17">
        <x:f>IF($B199="","",MAX(0,MIN(30,$J199+$K199+$L199)))</x:f>
      </x:c>
      <x:c r="R199" s="17">
        <x:f>IF($B199="","",MAX(0,MIN(30,$M199+$N199+$O199)))</x:f>
      </x:c>
      <x:c r="S199" s="17">
        <x:f>IF($B199="","",$P199+$Q199+$R199)</x:f>
      </x:c>
      <x:c r="T199" s="17">
        <x:f>IF($S199="","",IF($S199&gt;=90,"A+",IF($S199&gt;=80,"A",IF($S199&gt;=70,"B",IF($S199&gt;=60,"C","D")))))</x:f>
      </x:c>
      <x:c r="U199" s="17">
        <x:f>IF($T199="","",IF($T199="A+","正常合作 / 维持额度",IF($T199="A","正常合作 / 关注回款",IF($T199="B","控制新增赊销",IF($T199="C","降低额度 / 缩短账期","停供评估 / 法务关注")))))</x:f>
      </x:c>
      <x:c r="V199" s="13" t="n"/>
      <x:c r="W199" s="12" t="n"/>
    </x:row>
    <x:row r="200">
      <x:c r="A200" s="12" t="n"/>
      <x:c r="B200" s="12" t="n"/>
      <x:c r="C200" s="12" t="n"/>
      <x:c r="D200" s="12" t="n"/>
      <x:c r="E200" s="12" t="n"/>
      <x:c r="F200" s="12" t="n"/>
      <x:c r="G200" s="12" t="n"/>
      <x:c r="H200" s="12" t="n"/>
      <x:c r="I200" s="12" t="n"/>
      <x:c r="J200" s="12" t="n"/>
      <x:c r="K200" s="12" t="n"/>
      <x:c r="L200" s="12" t="n"/>
      <x:c r="M200" s="12" t="n"/>
      <x:c r="N200" s="12" t="n"/>
      <x:c r="O200" s="12" t="n"/>
      <x:c r="P200" s="17">
        <x:f>IF($B200="","",MAX(0,40-$D200*Params!$B$2-$E200*Params!$B$3-IF($F200="是",Params!$B$4,0)-IF($G200="是",Params!$B$5,0)-IF($H200&gt;=1,Params!$B$6,0)-IF($I200&gt;90,Params!$B$8,IF($I200&gt;60,Params!$B$7,0))))</x:f>
      </x:c>
      <x:c r="Q200" s="17">
        <x:f>IF($B200="","",MAX(0,MIN(30,$J200+$K200+$L200)))</x:f>
      </x:c>
      <x:c r="R200" s="17">
        <x:f>IF($B200="","",MAX(0,MIN(30,$M200+$N200+$O200)))</x:f>
      </x:c>
      <x:c r="S200" s="17">
        <x:f>IF($B200="","",$P200+$Q200+$R200)</x:f>
      </x:c>
      <x:c r="T200" s="17">
        <x:f>IF($S200="","",IF($S200&gt;=90,"A+",IF($S200&gt;=80,"A",IF($S200&gt;=70,"B",IF($S200&gt;=60,"C","D")))))</x:f>
      </x:c>
      <x:c r="U200" s="17">
        <x:f>IF($T200="","",IF($T200="A+","正常合作 / 维持额度",IF($T200="A","正常合作 / 关注回款",IF($T200="B","控制新增赊销",IF($T200="C","降低额度 / 缩短账期","停供评估 / 法务关注")))))</x:f>
      </x:c>
      <x:c r="V200" s="13" t="n"/>
      <x:c r="W200" s="12" t="n"/>
    </x:row>
    <x:row r="201">
      <x:c r="A201" s="12" t="n"/>
      <x:c r="B201" s="12" t="n"/>
      <x:c r="C201" s="12" t="n"/>
      <x:c r="D201" s="12" t="n"/>
      <x:c r="E201" s="12" t="n"/>
      <x:c r="F201" s="12" t="n"/>
      <x:c r="G201" s="12" t="n"/>
      <x:c r="H201" s="12" t="n"/>
      <x:c r="I201" s="12" t="n"/>
      <x:c r="J201" s="12" t="n"/>
      <x:c r="K201" s="12" t="n"/>
      <x:c r="L201" s="12" t="n"/>
      <x:c r="M201" s="12" t="n"/>
      <x:c r="N201" s="12" t="n"/>
      <x:c r="O201" s="12" t="n"/>
      <x:c r="P201" s="17">
        <x:f>IF($B201="","",MAX(0,40-$D201*Params!$B$2-$E201*Params!$B$3-IF($F201="是",Params!$B$4,0)-IF($G201="是",Params!$B$5,0)-IF($H201&gt;=1,Params!$B$6,0)-IF($I201&gt;90,Params!$B$8,IF($I201&gt;60,Params!$B$7,0))))</x:f>
      </x:c>
      <x:c r="Q201" s="17">
        <x:f>IF($B201="","",MAX(0,MIN(30,$J201+$K201+$L201)))</x:f>
      </x:c>
      <x:c r="R201" s="17">
        <x:f>IF($B201="","",MAX(0,MIN(30,$M201+$N201+$O201)))</x:f>
      </x:c>
      <x:c r="S201" s="17">
        <x:f>IF($B201="","",$P201+$Q201+$R201)</x:f>
      </x:c>
      <x:c r="T201" s="17">
        <x:f>IF($S201="","",IF($S201&gt;=90,"A+",IF($S201&gt;=80,"A",IF($S201&gt;=70,"B",IF($S201&gt;=60,"C","D")))))</x:f>
      </x:c>
      <x:c r="U201" s="17">
        <x:f>IF($T201="","",IF($T201="A+","正常合作 / 维持额度",IF($T201="A","正常合作 / 关注回款",IF($T201="B","控制新增赊销",IF($T201="C","降低额度 / 缩短账期","停供评估 / 法务关注")))))</x:f>
      </x:c>
      <x:c r="V201" s="13" t="n"/>
      <x:c r="W201" s="12" t="n"/>
    </x:row>
  </x:sheetData>
  <x:dataValidations count="1">
    <x:dataValidation type="list" allowBlank="1" showDropDown="0" showInputMessage="0" showErrorMessage="0" sqref="F2:G201">
      <x:formula1>"否,是"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2" customWidth="1"/>
    <x:col min="3" max="3" width="22" customWidth="1"/>
    <x:col min="4" max="4" width="14" customWidth="1"/>
    <x:col min="5" max="5" width="10" customWidth="1"/>
    <x:col min="6" max="6" width="12" customWidth="1"/>
    <x:col min="7" max="7" width="24" customWidth="1"/>
    <x:col min="8" max="8" width="12" customWidth="1"/>
    <x:col min="9" max="9" width="14" customWidth="1"/>
  </x:cols>
  <x:sheetData>
    <x:row r="1" ht="24" customHeight="1">
      <x:c r="A1" s="8" t="inlineStr">
        <x:is>
          <x:t xml:space="preserve">排名</x:t>
        </x:is>
      </x:c>
      <x:c r="B1" s="8" t="inlineStr">
        <x:is>
          <x:t xml:space="preserve">客户名称</x:t>
        </x:is>
      </x:c>
      <x:c r="C1" s="8" t="inlineStr">
        <x:is>
          <x:t xml:space="preserve">项目名称</x:t>
        </x:is>
      </x:c>
      <x:c r="D1" s="8" t="inlineStr">
        <x:is>
          <x:t xml:space="preserve">未收金额(元)</x:t>
        </x:is>
      </x:c>
      <x:c r="E1" s="8" t="inlineStr">
        <x:is>
          <x:t xml:space="preserve">逾期天数</x:t>
        </x:is>
      </x:c>
      <x:c r="F1" s="8" t="inlineStr">
        <x:is>
          <x:t xml:space="preserve">预警等级</x:t>
        </x:is>
      </x:c>
      <x:c r="G1" s="8" t="inlineStr">
        <x:is>
          <x:t xml:space="preserve">建议措施</x:t>
        </x:is>
      </x:c>
      <x:c r="H1" s="8" t="inlineStr">
        <x:is>
          <x:t xml:space="preserve">责任业务员</x:t>
        </x:is>
      </x:c>
      <x:c r="I1" s="8" t="inlineStr">
        <x:is>
          <x:t xml:space="preserve">催收排序分</x:t>
        </x:is>
      </x:c>
    </x:row>
    <x:row r="2">
      <x:c r="A2" s="17">
        <x:f>IF($I2="","",ROWS($A$2:A2))</x:f>
      </x:c>
      <x:c r="B2" s="17">
        <x:f>IF($I2="","",INDEX(AR!$C$2:$C$201,MATCH($I2,AR!$U$2:$U$201,0)))</x:f>
      </x:c>
      <x:c r="C2" s="17">
        <x:f>IF($I2="","",INDEX(AR!$D$2:$D$201,MATCH($I2,AR!$U$2:$U$201,0)))</x:f>
      </x:c>
      <x:c r="D2" s="15">
        <x:f>IF($I2="","",INDEX(AR!$H$2:$H$201,MATCH($I2,AR!$U$2:$U$201,0)))</x:f>
      </x:c>
      <x:c r="E2" s="17">
        <x:f>IF($I2="","",INDEX(AR!$J$2:$J$201,MATCH($I2,AR!$U$2:$U$201,0)))</x:f>
      </x:c>
      <x:c r="F2" s="17">
        <x:f>IF($I2="","",INDEX(AR!$Q$2:$Q$201,MATCH($I2,AR!$U$2:$U$201,0)))</x:f>
      </x:c>
      <x:c r="G2" s="17">
        <x:f>IF($I2="","",INDEX(AR!$R$2:$R$201,MATCH($I2,AR!$U$2:$U$201,0)))</x:f>
      </x:c>
      <x:c r="H2" s="17">
        <x:f>IF($I2="","",INDEX(AR!$O$2:$O$201,MATCH($I2,AR!$U$2:$U$201,0)))</x:f>
      </x:c>
      <x:c r="I2" s="17">
        <x:f>IFERROR(LARGE(AR!$U$2:$U$201,ROWS($A$2:A2)),"")</x:f>
      </x:c>
    </x:row>
    <x:row r="3">
      <x:c r="A3" s="17">
        <x:f>IF($I3="","",ROWS($A$2:A3))</x:f>
      </x:c>
      <x:c r="B3" s="17">
        <x:f>IF($I3="","",INDEX(AR!$C$2:$C$201,MATCH($I3,AR!$U$2:$U$201,0)))</x:f>
      </x:c>
      <x:c r="C3" s="17">
        <x:f>IF($I3="","",INDEX(AR!$D$2:$D$201,MATCH($I3,AR!$U$2:$U$201,0)))</x:f>
      </x:c>
      <x:c r="D3" s="15">
        <x:f>IF($I3="","",INDEX(AR!$H$2:$H$201,MATCH($I3,AR!$U$2:$U$201,0)))</x:f>
      </x:c>
      <x:c r="E3" s="17">
        <x:f>IF($I3="","",INDEX(AR!$J$2:$J$201,MATCH($I3,AR!$U$2:$U$201,0)))</x:f>
      </x:c>
      <x:c r="F3" s="17">
        <x:f>IF($I3="","",INDEX(AR!$Q$2:$Q$201,MATCH($I3,AR!$U$2:$U$201,0)))</x:f>
      </x:c>
      <x:c r="G3" s="17">
        <x:f>IF($I3="","",INDEX(AR!$R$2:$R$201,MATCH($I3,AR!$U$2:$U$201,0)))</x:f>
      </x:c>
      <x:c r="H3" s="17">
        <x:f>IF($I3="","",INDEX(AR!$O$2:$O$201,MATCH($I3,AR!$U$2:$U$201,0)))</x:f>
      </x:c>
      <x:c r="I3" s="17">
        <x:f>IFERROR(LARGE(AR!$U$2:$U$201,ROWS($A$2:A3)),"")</x:f>
      </x:c>
    </x:row>
    <x:row r="4">
      <x:c r="A4" s="17">
        <x:f>IF($I4="","",ROWS($A$2:A4))</x:f>
      </x:c>
      <x:c r="B4" s="17">
        <x:f>IF($I4="","",INDEX(AR!$C$2:$C$201,MATCH($I4,AR!$U$2:$U$201,0)))</x:f>
      </x:c>
      <x:c r="C4" s="17">
        <x:f>IF($I4="","",INDEX(AR!$D$2:$D$201,MATCH($I4,AR!$U$2:$U$201,0)))</x:f>
      </x:c>
      <x:c r="D4" s="15">
        <x:f>IF($I4="","",INDEX(AR!$H$2:$H$201,MATCH($I4,AR!$U$2:$U$201,0)))</x:f>
      </x:c>
      <x:c r="E4" s="17">
        <x:f>IF($I4="","",INDEX(AR!$J$2:$J$201,MATCH($I4,AR!$U$2:$U$201,0)))</x:f>
      </x:c>
      <x:c r="F4" s="17">
        <x:f>IF($I4="","",INDEX(AR!$Q$2:$Q$201,MATCH($I4,AR!$U$2:$U$201,0)))</x:f>
      </x:c>
      <x:c r="G4" s="17">
        <x:f>IF($I4="","",INDEX(AR!$R$2:$R$201,MATCH($I4,AR!$U$2:$U$201,0)))</x:f>
      </x:c>
      <x:c r="H4" s="17">
        <x:f>IF($I4="","",INDEX(AR!$O$2:$O$201,MATCH($I4,AR!$U$2:$U$201,0)))</x:f>
      </x:c>
      <x:c r="I4" s="17">
        <x:f>IFERROR(LARGE(AR!$U$2:$U$201,ROWS($A$2:A4)),"")</x:f>
      </x:c>
    </x:row>
    <x:row r="5">
      <x:c r="A5" s="17">
        <x:f>IF($I5="","",ROWS($A$2:A5))</x:f>
      </x:c>
      <x:c r="B5" s="17">
        <x:f>IF($I5="","",INDEX(AR!$C$2:$C$201,MATCH($I5,AR!$U$2:$U$201,0)))</x:f>
      </x:c>
      <x:c r="C5" s="17">
        <x:f>IF($I5="","",INDEX(AR!$D$2:$D$201,MATCH($I5,AR!$U$2:$U$201,0)))</x:f>
      </x:c>
      <x:c r="D5" s="15">
        <x:f>IF($I5="","",INDEX(AR!$H$2:$H$201,MATCH($I5,AR!$U$2:$U$201,0)))</x:f>
      </x:c>
      <x:c r="E5" s="17">
        <x:f>IF($I5="","",INDEX(AR!$J$2:$J$201,MATCH($I5,AR!$U$2:$U$201,0)))</x:f>
      </x:c>
      <x:c r="F5" s="17">
        <x:f>IF($I5="","",INDEX(AR!$Q$2:$Q$201,MATCH($I5,AR!$U$2:$U$201,0)))</x:f>
      </x:c>
      <x:c r="G5" s="17">
        <x:f>IF($I5="","",INDEX(AR!$R$2:$R$201,MATCH($I5,AR!$U$2:$U$201,0)))</x:f>
      </x:c>
      <x:c r="H5" s="17">
        <x:f>IF($I5="","",INDEX(AR!$O$2:$O$201,MATCH($I5,AR!$U$2:$U$201,0)))</x:f>
      </x:c>
      <x:c r="I5" s="17">
        <x:f>IFERROR(LARGE(AR!$U$2:$U$201,ROWS($A$2:A5)),"")</x:f>
      </x:c>
    </x:row>
    <x:row r="6">
      <x:c r="A6" s="17">
        <x:f>IF($I6="","",ROWS($A$2:A6))</x:f>
      </x:c>
      <x:c r="B6" s="17">
        <x:f>IF($I6="","",INDEX(AR!$C$2:$C$201,MATCH($I6,AR!$U$2:$U$201,0)))</x:f>
      </x:c>
      <x:c r="C6" s="17">
        <x:f>IF($I6="","",INDEX(AR!$D$2:$D$201,MATCH($I6,AR!$U$2:$U$201,0)))</x:f>
      </x:c>
      <x:c r="D6" s="15">
        <x:f>IF($I6="","",INDEX(AR!$H$2:$H$201,MATCH($I6,AR!$U$2:$U$201,0)))</x:f>
      </x:c>
      <x:c r="E6" s="17">
        <x:f>IF($I6="","",INDEX(AR!$J$2:$J$201,MATCH($I6,AR!$U$2:$U$201,0)))</x:f>
      </x:c>
      <x:c r="F6" s="17">
        <x:f>IF($I6="","",INDEX(AR!$Q$2:$Q$201,MATCH($I6,AR!$U$2:$U$201,0)))</x:f>
      </x:c>
      <x:c r="G6" s="17">
        <x:f>IF($I6="","",INDEX(AR!$R$2:$R$201,MATCH($I6,AR!$U$2:$U$201,0)))</x:f>
      </x:c>
      <x:c r="H6" s="17">
        <x:f>IF($I6="","",INDEX(AR!$O$2:$O$201,MATCH($I6,AR!$U$2:$U$201,0)))</x:f>
      </x:c>
      <x:c r="I6" s="17">
        <x:f>IFERROR(LARGE(AR!$U$2:$U$201,ROWS($A$2:A6)),"")</x:f>
      </x:c>
    </x:row>
    <x:row r="7">
      <x:c r="A7" s="17">
        <x:f>IF($I7="","",ROWS($A$2:A7))</x:f>
      </x:c>
      <x:c r="B7" s="17">
        <x:f>IF($I7="","",INDEX(AR!$C$2:$C$201,MATCH($I7,AR!$U$2:$U$201,0)))</x:f>
      </x:c>
      <x:c r="C7" s="17">
        <x:f>IF($I7="","",INDEX(AR!$D$2:$D$201,MATCH($I7,AR!$U$2:$U$201,0)))</x:f>
      </x:c>
      <x:c r="D7" s="15">
        <x:f>IF($I7="","",INDEX(AR!$H$2:$H$201,MATCH($I7,AR!$U$2:$U$201,0)))</x:f>
      </x:c>
      <x:c r="E7" s="17">
        <x:f>IF($I7="","",INDEX(AR!$J$2:$J$201,MATCH($I7,AR!$U$2:$U$201,0)))</x:f>
      </x:c>
      <x:c r="F7" s="17">
        <x:f>IF($I7="","",INDEX(AR!$Q$2:$Q$201,MATCH($I7,AR!$U$2:$U$201,0)))</x:f>
      </x:c>
      <x:c r="G7" s="17">
        <x:f>IF($I7="","",INDEX(AR!$R$2:$R$201,MATCH($I7,AR!$U$2:$U$201,0)))</x:f>
      </x:c>
      <x:c r="H7" s="17">
        <x:f>IF($I7="","",INDEX(AR!$O$2:$O$201,MATCH($I7,AR!$U$2:$U$201,0)))</x:f>
      </x:c>
      <x:c r="I7" s="17">
        <x:f>IFERROR(LARGE(AR!$U$2:$U$201,ROWS($A$2:A7)),"")</x:f>
      </x:c>
    </x:row>
    <x:row r="8">
      <x:c r="A8" s="17">
        <x:f>IF($I8="","",ROWS($A$2:A8))</x:f>
      </x:c>
      <x:c r="B8" s="17">
        <x:f>IF($I8="","",INDEX(AR!$C$2:$C$201,MATCH($I8,AR!$U$2:$U$201,0)))</x:f>
      </x:c>
      <x:c r="C8" s="17">
        <x:f>IF($I8="","",INDEX(AR!$D$2:$D$201,MATCH($I8,AR!$U$2:$U$201,0)))</x:f>
      </x:c>
      <x:c r="D8" s="15">
        <x:f>IF($I8="","",INDEX(AR!$H$2:$H$201,MATCH($I8,AR!$U$2:$U$201,0)))</x:f>
      </x:c>
      <x:c r="E8" s="17">
        <x:f>IF($I8="","",INDEX(AR!$J$2:$J$201,MATCH($I8,AR!$U$2:$U$201,0)))</x:f>
      </x:c>
      <x:c r="F8" s="17">
        <x:f>IF($I8="","",INDEX(AR!$Q$2:$Q$201,MATCH($I8,AR!$U$2:$U$201,0)))</x:f>
      </x:c>
      <x:c r="G8" s="17">
        <x:f>IF($I8="","",INDEX(AR!$R$2:$R$201,MATCH($I8,AR!$U$2:$U$201,0)))</x:f>
      </x:c>
      <x:c r="H8" s="17">
        <x:f>IF($I8="","",INDEX(AR!$O$2:$O$201,MATCH($I8,AR!$U$2:$U$201,0)))</x:f>
      </x:c>
      <x:c r="I8" s="17">
        <x:f>IFERROR(LARGE(AR!$U$2:$U$201,ROWS($A$2:A8)),"")</x:f>
      </x:c>
    </x:row>
    <x:row r="9">
      <x:c r="A9" s="17">
        <x:f>IF($I9="","",ROWS($A$2:A9))</x:f>
      </x:c>
      <x:c r="B9" s="17">
        <x:f>IF($I9="","",INDEX(AR!$C$2:$C$201,MATCH($I9,AR!$U$2:$U$201,0)))</x:f>
      </x:c>
      <x:c r="C9" s="17">
        <x:f>IF($I9="","",INDEX(AR!$D$2:$D$201,MATCH($I9,AR!$U$2:$U$201,0)))</x:f>
      </x:c>
      <x:c r="D9" s="15">
        <x:f>IF($I9="","",INDEX(AR!$H$2:$H$201,MATCH($I9,AR!$U$2:$U$201,0)))</x:f>
      </x:c>
      <x:c r="E9" s="17">
        <x:f>IF($I9="","",INDEX(AR!$J$2:$J$201,MATCH($I9,AR!$U$2:$U$201,0)))</x:f>
      </x:c>
      <x:c r="F9" s="17">
        <x:f>IF($I9="","",INDEX(AR!$Q$2:$Q$201,MATCH($I9,AR!$U$2:$U$201,0)))</x:f>
      </x:c>
      <x:c r="G9" s="17">
        <x:f>IF($I9="","",INDEX(AR!$R$2:$R$201,MATCH($I9,AR!$U$2:$U$201,0)))</x:f>
      </x:c>
      <x:c r="H9" s="17">
        <x:f>IF($I9="","",INDEX(AR!$O$2:$O$201,MATCH($I9,AR!$U$2:$U$201,0)))</x:f>
      </x:c>
      <x:c r="I9" s="17">
        <x:f>IFERROR(LARGE(AR!$U$2:$U$201,ROWS($A$2:A9)),"")</x:f>
      </x:c>
    </x:row>
    <x:row r="10">
      <x:c r="A10" s="17">
        <x:f>IF($I10="","",ROWS($A$2:A10))</x:f>
      </x:c>
      <x:c r="B10" s="17">
        <x:f>IF($I10="","",INDEX(AR!$C$2:$C$201,MATCH($I10,AR!$U$2:$U$201,0)))</x:f>
      </x:c>
      <x:c r="C10" s="17">
        <x:f>IF($I10="","",INDEX(AR!$D$2:$D$201,MATCH($I10,AR!$U$2:$U$201,0)))</x:f>
      </x:c>
      <x:c r="D10" s="15">
        <x:f>IF($I10="","",INDEX(AR!$H$2:$H$201,MATCH($I10,AR!$U$2:$U$201,0)))</x:f>
      </x:c>
      <x:c r="E10" s="17">
        <x:f>IF($I10="","",INDEX(AR!$J$2:$J$201,MATCH($I10,AR!$U$2:$U$201,0)))</x:f>
      </x:c>
      <x:c r="F10" s="17">
        <x:f>IF($I10="","",INDEX(AR!$Q$2:$Q$201,MATCH($I10,AR!$U$2:$U$201,0)))</x:f>
      </x:c>
      <x:c r="G10" s="17">
        <x:f>IF($I10="","",INDEX(AR!$R$2:$R$201,MATCH($I10,AR!$U$2:$U$201,0)))</x:f>
      </x:c>
      <x:c r="H10" s="17">
        <x:f>IF($I10="","",INDEX(AR!$O$2:$O$201,MATCH($I10,AR!$U$2:$U$201,0)))</x:f>
      </x:c>
      <x:c r="I10" s="17">
        <x:f>IFERROR(LARGE(AR!$U$2:$U$201,ROWS($A$2:A10)),"")</x:f>
      </x:c>
    </x:row>
    <x:row r="11">
      <x:c r="A11" s="17">
        <x:f>IF($I11="","",ROWS($A$2:A11))</x:f>
      </x:c>
      <x:c r="B11" s="17">
        <x:f>IF($I11="","",INDEX(AR!$C$2:$C$201,MATCH($I11,AR!$U$2:$U$201,0)))</x:f>
      </x:c>
      <x:c r="C11" s="17">
        <x:f>IF($I11="","",INDEX(AR!$D$2:$D$201,MATCH($I11,AR!$U$2:$U$201,0)))</x:f>
      </x:c>
      <x:c r="D11" s="15">
        <x:f>IF($I11="","",INDEX(AR!$H$2:$H$201,MATCH($I11,AR!$U$2:$U$201,0)))</x:f>
      </x:c>
      <x:c r="E11" s="17">
        <x:f>IF($I11="","",INDEX(AR!$J$2:$J$201,MATCH($I11,AR!$U$2:$U$201,0)))</x:f>
      </x:c>
      <x:c r="F11" s="17">
        <x:f>IF($I11="","",INDEX(AR!$Q$2:$Q$201,MATCH($I11,AR!$U$2:$U$201,0)))</x:f>
      </x:c>
      <x:c r="G11" s="17">
        <x:f>IF($I11="","",INDEX(AR!$R$2:$R$201,MATCH($I11,AR!$U$2:$U$201,0)))</x:f>
      </x:c>
      <x:c r="H11" s="17">
        <x:f>IF($I11="","",INDEX(AR!$O$2:$O$201,MATCH($I11,AR!$U$2:$U$201,0)))</x:f>
      </x:c>
      <x:c r="I11" s="17">
        <x:f>IFERROR(LARGE(AR!$U$2:$U$201,ROWS($A$2:A11)),"")</x:f>
      </x:c>
    </x:row>
    <x:row r="12">
      <x:c r="A12" s="17">
        <x:f>IF($I12="","",ROWS($A$2:A12))</x:f>
      </x:c>
      <x:c r="B12" s="17">
        <x:f>IF($I12="","",INDEX(AR!$C$2:$C$201,MATCH($I12,AR!$U$2:$U$201,0)))</x:f>
      </x:c>
      <x:c r="C12" s="17">
        <x:f>IF($I12="","",INDEX(AR!$D$2:$D$201,MATCH($I12,AR!$U$2:$U$201,0)))</x:f>
      </x:c>
      <x:c r="D12" s="15">
        <x:f>IF($I12="","",INDEX(AR!$H$2:$H$201,MATCH($I12,AR!$U$2:$U$201,0)))</x:f>
      </x:c>
      <x:c r="E12" s="17">
        <x:f>IF($I12="","",INDEX(AR!$J$2:$J$201,MATCH($I12,AR!$U$2:$U$201,0)))</x:f>
      </x:c>
      <x:c r="F12" s="17">
        <x:f>IF($I12="","",INDEX(AR!$Q$2:$Q$201,MATCH($I12,AR!$U$2:$U$201,0)))</x:f>
      </x:c>
      <x:c r="G12" s="17">
        <x:f>IF($I12="","",INDEX(AR!$R$2:$R$201,MATCH($I12,AR!$U$2:$U$201,0)))</x:f>
      </x:c>
      <x:c r="H12" s="17">
        <x:f>IF($I12="","",INDEX(AR!$O$2:$O$201,MATCH($I12,AR!$U$2:$U$201,0)))</x:f>
      </x:c>
      <x:c r="I12" s="17">
        <x:f>IFERROR(LARGE(AR!$U$2:$U$201,ROWS($A$2:A12)),"")</x:f>
      </x:c>
    </x:row>
    <x:row r="13">
      <x:c r="A13" s="17">
        <x:f>IF($I13="","",ROWS($A$2:A13))</x:f>
      </x:c>
      <x:c r="B13" s="17">
        <x:f>IF($I13="","",INDEX(AR!$C$2:$C$201,MATCH($I13,AR!$U$2:$U$201,0)))</x:f>
      </x:c>
      <x:c r="C13" s="17">
        <x:f>IF($I13="","",INDEX(AR!$D$2:$D$201,MATCH($I13,AR!$U$2:$U$201,0)))</x:f>
      </x:c>
      <x:c r="D13" s="15">
        <x:f>IF($I13="","",INDEX(AR!$H$2:$H$201,MATCH($I13,AR!$U$2:$U$201,0)))</x:f>
      </x:c>
      <x:c r="E13" s="17">
        <x:f>IF($I13="","",INDEX(AR!$J$2:$J$201,MATCH($I13,AR!$U$2:$U$201,0)))</x:f>
      </x:c>
      <x:c r="F13" s="17">
        <x:f>IF($I13="","",INDEX(AR!$Q$2:$Q$201,MATCH($I13,AR!$U$2:$U$201,0)))</x:f>
      </x:c>
      <x:c r="G13" s="17">
        <x:f>IF($I13="","",INDEX(AR!$R$2:$R$201,MATCH($I13,AR!$U$2:$U$201,0)))</x:f>
      </x:c>
      <x:c r="H13" s="17">
        <x:f>IF($I13="","",INDEX(AR!$O$2:$O$201,MATCH($I13,AR!$U$2:$U$201,0)))</x:f>
      </x:c>
      <x:c r="I13" s="17">
        <x:f>IFERROR(LARGE(AR!$U$2:$U$201,ROWS($A$2:A13)),"")</x:f>
      </x:c>
    </x:row>
    <x:row r="14">
      <x:c r="A14" s="17">
        <x:f>IF($I14="","",ROWS($A$2:A14))</x:f>
      </x:c>
      <x:c r="B14" s="17">
        <x:f>IF($I14="","",INDEX(AR!$C$2:$C$201,MATCH($I14,AR!$U$2:$U$201,0)))</x:f>
      </x:c>
      <x:c r="C14" s="17">
        <x:f>IF($I14="","",INDEX(AR!$D$2:$D$201,MATCH($I14,AR!$U$2:$U$201,0)))</x:f>
      </x:c>
      <x:c r="D14" s="15">
        <x:f>IF($I14="","",INDEX(AR!$H$2:$H$201,MATCH($I14,AR!$U$2:$U$201,0)))</x:f>
      </x:c>
      <x:c r="E14" s="17">
        <x:f>IF($I14="","",INDEX(AR!$J$2:$J$201,MATCH($I14,AR!$U$2:$U$201,0)))</x:f>
      </x:c>
      <x:c r="F14" s="17">
        <x:f>IF($I14="","",INDEX(AR!$Q$2:$Q$201,MATCH($I14,AR!$U$2:$U$201,0)))</x:f>
      </x:c>
      <x:c r="G14" s="17">
        <x:f>IF($I14="","",INDEX(AR!$R$2:$R$201,MATCH($I14,AR!$U$2:$U$201,0)))</x:f>
      </x:c>
      <x:c r="H14" s="17">
        <x:f>IF($I14="","",INDEX(AR!$O$2:$O$201,MATCH($I14,AR!$U$2:$U$201,0)))</x:f>
      </x:c>
      <x:c r="I14" s="17">
        <x:f>IFERROR(LARGE(AR!$U$2:$U$201,ROWS($A$2:A14)),"")</x:f>
      </x:c>
    </x:row>
    <x:row r="15">
      <x:c r="A15" s="17">
        <x:f>IF($I15="","",ROWS($A$2:A15))</x:f>
      </x:c>
      <x:c r="B15" s="17">
        <x:f>IF($I15="","",INDEX(AR!$C$2:$C$201,MATCH($I15,AR!$U$2:$U$201,0)))</x:f>
      </x:c>
      <x:c r="C15" s="17">
        <x:f>IF($I15="","",INDEX(AR!$D$2:$D$201,MATCH($I15,AR!$U$2:$U$201,0)))</x:f>
      </x:c>
      <x:c r="D15" s="15">
        <x:f>IF($I15="","",INDEX(AR!$H$2:$H$201,MATCH($I15,AR!$U$2:$U$201,0)))</x:f>
      </x:c>
      <x:c r="E15" s="17">
        <x:f>IF($I15="","",INDEX(AR!$J$2:$J$201,MATCH($I15,AR!$U$2:$U$201,0)))</x:f>
      </x:c>
      <x:c r="F15" s="17">
        <x:f>IF($I15="","",INDEX(AR!$Q$2:$Q$201,MATCH($I15,AR!$U$2:$U$201,0)))</x:f>
      </x:c>
      <x:c r="G15" s="17">
        <x:f>IF($I15="","",INDEX(AR!$R$2:$R$201,MATCH($I15,AR!$U$2:$U$201,0)))</x:f>
      </x:c>
      <x:c r="H15" s="17">
        <x:f>IF($I15="","",INDEX(AR!$O$2:$O$201,MATCH($I15,AR!$U$2:$U$201,0)))</x:f>
      </x:c>
      <x:c r="I15" s="17">
        <x:f>IFERROR(LARGE(AR!$U$2:$U$201,ROWS($A$2:A15)),"")</x:f>
      </x:c>
    </x:row>
    <x:row r="16">
      <x:c r="A16" s="17">
        <x:f>IF($I16="","",ROWS($A$2:A16))</x:f>
      </x:c>
      <x:c r="B16" s="17">
        <x:f>IF($I16="","",INDEX(AR!$C$2:$C$201,MATCH($I16,AR!$U$2:$U$201,0)))</x:f>
      </x:c>
      <x:c r="C16" s="17">
        <x:f>IF($I16="","",INDEX(AR!$D$2:$D$201,MATCH($I16,AR!$U$2:$U$201,0)))</x:f>
      </x:c>
      <x:c r="D16" s="15">
        <x:f>IF($I16="","",INDEX(AR!$H$2:$H$201,MATCH($I16,AR!$U$2:$U$201,0)))</x:f>
      </x:c>
      <x:c r="E16" s="17">
        <x:f>IF($I16="","",INDEX(AR!$J$2:$J$201,MATCH($I16,AR!$U$2:$U$201,0)))</x:f>
      </x:c>
      <x:c r="F16" s="17">
        <x:f>IF($I16="","",INDEX(AR!$Q$2:$Q$201,MATCH($I16,AR!$U$2:$U$201,0)))</x:f>
      </x:c>
      <x:c r="G16" s="17">
        <x:f>IF($I16="","",INDEX(AR!$R$2:$R$201,MATCH($I16,AR!$U$2:$U$201,0)))</x:f>
      </x:c>
      <x:c r="H16" s="17">
        <x:f>IF($I16="","",INDEX(AR!$O$2:$O$201,MATCH($I16,AR!$U$2:$U$201,0)))</x:f>
      </x:c>
      <x:c r="I16" s="17">
        <x:f>IFERROR(LARGE(AR!$U$2:$U$201,ROWS($A$2:A16)),"")</x:f>
      </x:c>
    </x:row>
    <x:row r="17">
      <x:c r="A17" s="17">
        <x:f>IF($I17="","",ROWS($A$2:A17))</x:f>
      </x:c>
      <x:c r="B17" s="17">
        <x:f>IF($I17="","",INDEX(AR!$C$2:$C$201,MATCH($I17,AR!$U$2:$U$201,0)))</x:f>
      </x:c>
      <x:c r="C17" s="17">
        <x:f>IF($I17="","",INDEX(AR!$D$2:$D$201,MATCH($I17,AR!$U$2:$U$201,0)))</x:f>
      </x:c>
      <x:c r="D17" s="15">
        <x:f>IF($I17="","",INDEX(AR!$H$2:$H$201,MATCH($I17,AR!$U$2:$U$201,0)))</x:f>
      </x:c>
      <x:c r="E17" s="17">
        <x:f>IF($I17="","",INDEX(AR!$J$2:$J$201,MATCH($I17,AR!$U$2:$U$201,0)))</x:f>
      </x:c>
      <x:c r="F17" s="17">
        <x:f>IF($I17="","",INDEX(AR!$Q$2:$Q$201,MATCH($I17,AR!$U$2:$U$201,0)))</x:f>
      </x:c>
      <x:c r="G17" s="17">
        <x:f>IF($I17="","",INDEX(AR!$R$2:$R$201,MATCH($I17,AR!$U$2:$U$201,0)))</x:f>
      </x:c>
      <x:c r="H17" s="17">
        <x:f>IF($I17="","",INDEX(AR!$O$2:$O$201,MATCH($I17,AR!$U$2:$U$201,0)))</x:f>
      </x:c>
      <x:c r="I17" s="17">
        <x:f>IFERROR(LARGE(AR!$U$2:$U$201,ROWS($A$2:A17)),"")</x:f>
      </x:c>
    </x:row>
    <x:row r="18">
      <x:c r="A18" s="17">
        <x:f>IF($I18="","",ROWS($A$2:A18))</x:f>
      </x:c>
      <x:c r="B18" s="17">
        <x:f>IF($I18="","",INDEX(AR!$C$2:$C$201,MATCH($I18,AR!$U$2:$U$201,0)))</x:f>
      </x:c>
      <x:c r="C18" s="17">
        <x:f>IF($I18="","",INDEX(AR!$D$2:$D$201,MATCH($I18,AR!$U$2:$U$201,0)))</x:f>
      </x:c>
      <x:c r="D18" s="15">
        <x:f>IF($I18="","",INDEX(AR!$H$2:$H$201,MATCH($I18,AR!$U$2:$U$201,0)))</x:f>
      </x:c>
      <x:c r="E18" s="17">
        <x:f>IF($I18="","",INDEX(AR!$J$2:$J$201,MATCH($I18,AR!$U$2:$U$201,0)))</x:f>
      </x:c>
      <x:c r="F18" s="17">
        <x:f>IF($I18="","",INDEX(AR!$Q$2:$Q$201,MATCH($I18,AR!$U$2:$U$201,0)))</x:f>
      </x:c>
      <x:c r="G18" s="17">
        <x:f>IF($I18="","",INDEX(AR!$R$2:$R$201,MATCH($I18,AR!$U$2:$U$201,0)))</x:f>
      </x:c>
      <x:c r="H18" s="17">
        <x:f>IF($I18="","",INDEX(AR!$O$2:$O$201,MATCH($I18,AR!$U$2:$U$201,0)))</x:f>
      </x:c>
      <x:c r="I18" s="17">
        <x:f>IFERROR(LARGE(AR!$U$2:$U$201,ROWS($A$2:A18)),"")</x:f>
      </x:c>
    </x:row>
    <x:row r="19">
      <x:c r="A19" s="17">
        <x:f>IF($I19="","",ROWS($A$2:A19))</x:f>
      </x:c>
      <x:c r="B19" s="17">
        <x:f>IF($I19="","",INDEX(AR!$C$2:$C$201,MATCH($I19,AR!$U$2:$U$201,0)))</x:f>
      </x:c>
      <x:c r="C19" s="17">
        <x:f>IF($I19="","",INDEX(AR!$D$2:$D$201,MATCH($I19,AR!$U$2:$U$201,0)))</x:f>
      </x:c>
      <x:c r="D19" s="15">
        <x:f>IF($I19="","",INDEX(AR!$H$2:$H$201,MATCH($I19,AR!$U$2:$U$201,0)))</x:f>
      </x:c>
      <x:c r="E19" s="17">
        <x:f>IF($I19="","",INDEX(AR!$J$2:$J$201,MATCH($I19,AR!$U$2:$U$201,0)))</x:f>
      </x:c>
      <x:c r="F19" s="17">
        <x:f>IF($I19="","",INDEX(AR!$Q$2:$Q$201,MATCH($I19,AR!$U$2:$U$201,0)))</x:f>
      </x:c>
      <x:c r="G19" s="17">
        <x:f>IF($I19="","",INDEX(AR!$R$2:$R$201,MATCH($I19,AR!$U$2:$U$201,0)))</x:f>
      </x:c>
      <x:c r="H19" s="17">
        <x:f>IF($I19="","",INDEX(AR!$O$2:$O$201,MATCH($I19,AR!$U$2:$U$201,0)))</x:f>
      </x:c>
      <x:c r="I19" s="17">
        <x:f>IFERROR(LARGE(AR!$U$2:$U$201,ROWS($A$2:A19)),"")</x:f>
      </x:c>
    </x:row>
    <x:row r="20">
      <x:c r="A20" s="17">
        <x:f>IF($I20="","",ROWS($A$2:A20))</x:f>
      </x:c>
      <x:c r="B20" s="17">
        <x:f>IF($I20="","",INDEX(AR!$C$2:$C$201,MATCH($I20,AR!$U$2:$U$201,0)))</x:f>
      </x:c>
      <x:c r="C20" s="17">
        <x:f>IF($I20="","",INDEX(AR!$D$2:$D$201,MATCH($I20,AR!$U$2:$U$201,0)))</x:f>
      </x:c>
      <x:c r="D20" s="15">
        <x:f>IF($I20="","",INDEX(AR!$H$2:$H$201,MATCH($I20,AR!$U$2:$U$201,0)))</x:f>
      </x:c>
      <x:c r="E20" s="17">
        <x:f>IF($I20="","",INDEX(AR!$J$2:$J$201,MATCH($I20,AR!$U$2:$U$201,0)))</x:f>
      </x:c>
      <x:c r="F20" s="17">
        <x:f>IF($I20="","",INDEX(AR!$Q$2:$Q$201,MATCH($I20,AR!$U$2:$U$201,0)))</x:f>
      </x:c>
      <x:c r="G20" s="17">
        <x:f>IF($I20="","",INDEX(AR!$R$2:$R$201,MATCH($I20,AR!$U$2:$U$201,0)))</x:f>
      </x:c>
      <x:c r="H20" s="17">
        <x:f>IF($I20="","",INDEX(AR!$O$2:$O$201,MATCH($I20,AR!$U$2:$U$201,0)))</x:f>
      </x:c>
      <x:c r="I20" s="17">
        <x:f>IFERROR(LARGE(AR!$U$2:$U$201,ROWS($A$2:A20)),"")</x:f>
      </x:c>
    </x:row>
    <x:row r="21">
      <x:c r="A21" s="17">
        <x:f>IF($I21="","",ROWS($A$2:A21))</x:f>
      </x:c>
      <x:c r="B21" s="17">
        <x:f>IF($I21="","",INDEX(AR!$C$2:$C$201,MATCH($I21,AR!$U$2:$U$201,0)))</x:f>
      </x:c>
      <x:c r="C21" s="17">
        <x:f>IF($I21="","",INDEX(AR!$D$2:$D$201,MATCH($I21,AR!$U$2:$U$201,0)))</x:f>
      </x:c>
      <x:c r="D21" s="15">
        <x:f>IF($I21="","",INDEX(AR!$H$2:$H$201,MATCH($I21,AR!$U$2:$U$201,0)))</x:f>
      </x:c>
      <x:c r="E21" s="17">
        <x:f>IF($I21="","",INDEX(AR!$J$2:$J$201,MATCH($I21,AR!$U$2:$U$201,0)))</x:f>
      </x:c>
      <x:c r="F21" s="17">
        <x:f>IF($I21="","",INDEX(AR!$Q$2:$Q$201,MATCH($I21,AR!$U$2:$U$201,0)))</x:f>
      </x:c>
      <x:c r="G21" s="17">
        <x:f>IF($I21="","",INDEX(AR!$R$2:$R$201,MATCH($I21,AR!$U$2:$U$201,0)))</x:f>
      </x:c>
      <x:c r="H21" s="17">
        <x:f>IF($I21="","",INDEX(AR!$O$2:$O$201,MATCH($I21,AR!$U$2:$U$201,0)))</x:f>
      </x:c>
      <x:c r="I21" s="17">
        <x:f>IFERROR(LARGE(AR!$U$2:$U$201,ROWS($A$2:A21)),"")</x:f>
      </x:c>
    </x:row>
    <x:row r="22">
      <x:c r="A22" s="17">
        <x:f>IF($I22="","",ROWS($A$2:A22))</x:f>
      </x:c>
      <x:c r="B22" s="17">
        <x:f>IF($I22="","",INDEX(AR!$C$2:$C$201,MATCH($I22,AR!$U$2:$U$201,0)))</x:f>
      </x:c>
      <x:c r="C22" s="17">
        <x:f>IF($I22="","",INDEX(AR!$D$2:$D$201,MATCH($I22,AR!$U$2:$U$201,0)))</x:f>
      </x:c>
      <x:c r="D22" s="15">
        <x:f>IF($I22="","",INDEX(AR!$H$2:$H$201,MATCH($I22,AR!$U$2:$U$201,0)))</x:f>
      </x:c>
      <x:c r="E22" s="17">
        <x:f>IF($I22="","",INDEX(AR!$J$2:$J$201,MATCH($I22,AR!$U$2:$U$201,0)))</x:f>
      </x:c>
      <x:c r="F22" s="17">
        <x:f>IF($I22="","",INDEX(AR!$Q$2:$Q$201,MATCH($I22,AR!$U$2:$U$201,0)))</x:f>
      </x:c>
      <x:c r="G22" s="17">
        <x:f>IF($I22="","",INDEX(AR!$R$2:$R$201,MATCH($I22,AR!$U$2:$U$201,0)))</x:f>
      </x:c>
      <x:c r="H22" s="17">
        <x:f>IF($I22="","",INDEX(AR!$O$2:$O$201,MATCH($I22,AR!$U$2:$U$201,0)))</x:f>
      </x:c>
      <x:c r="I22" s="17">
        <x:f>IFERROR(LARGE(AR!$U$2:$U$201,ROWS($A$2:A22)),"")</x:f>
      </x:c>
    </x:row>
    <x:row r="23">
      <x:c r="A23" s="17">
        <x:f>IF($I23="","",ROWS($A$2:A23))</x:f>
      </x:c>
      <x:c r="B23" s="17">
        <x:f>IF($I23="","",INDEX(AR!$C$2:$C$201,MATCH($I23,AR!$U$2:$U$201,0)))</x:f>
      </x:c>
      <x:c r="C23" s="17">
        <x:f>IF($I23="","",INDEX(AR!$D$2:$D$201,MATCH($I23,AR!$U$2:$U$201,0)))</x:f>
      </x:c>
      <x:c r="D23" s="15">
        <x:f>IF($I23="","",INDEX(AR!$H$2:$H$201,MATCH($I23,AR!$U$2:$U$201,0)))</x:f>
      </x:c>
      <x:c r="E23" s="17">
        <x:f>IF($I23="","",INDEX(AR!$J$2:$J$201,MATCH($I23,AR!$U$2:$U$201,0)))</x:f>
      </x:c>
      <x:c r="F23" s="17">
        <x:f>IF($I23="","",INDEX(AR!$Q$2:$Q$201,MATCH($I23,AR!$U$2:$U$201,0)))</x:f>
      </x:c>
      <x:c r="G23" s="17">
        <x:f>IF($I23="","",INDEX(AR!$R$2:$R$201,MATCH($I23,AR!$U$2:$U$201,0)))</x:f>
      </x:c>
      <x:c r="H23" s="17">
        <x:f>IF($I23="","",INDEX(AR!$O$2:$O$201,MATCH($I23,AR!$U$2:$U$201,0)))</x:f>
      </x:c>
      <x:c r="I23" s="17">
        <x:f>IFERROR(LARGE(AR!$U$2:$U$201,ROWS($A$2:A23)),"")</x:f>
      </x:c>
    </x:row>
    <x:row r="24">
      <x:c r="A24" s="17">
        <x:f>IF($I24="","",ROWS($A$2:A24))</x:f>
      </x:c>
      <x:c r="B24" s="17">
        <x:f>IF($I24="","",INDEX(AR!$C$2:$C$201,MATCH($I24,AR!$U$2:$U$201,0)))</x:f>
      </x:c>
      <x:c r="C24" s="17">
        <x:f>IF($I24="","",INDEX(AR!$D$2:$D$201,MATCH($I24,AR!$U$2:$U$201,0)))</x:f>
      </x:c>
      <x:c r="D24" s="15">
        <x:f>IF($I24="","",INDEX(AR!$H$2:$H$201,MATCH($I24,AR!$U$2:$U$201,0)))</x:f>
      </x:c>
      <x:c r="E24" s="17">
        <x:f>IF($I24="","",INDEX(AR!$J$2:$J$201,MATCH($I24,AR!$U$2:$U$201,0)))</x:f>
      </x:c>
      <x:c r="F24" s="17">
        <x:f>IF($I24="","",INDEX(AR!$Q$2:$Q$201,MATCH($I24,AR!$U$2:$U$201,0)))</x:f>
      </x:c>
      <x:c r="G24" s="17">
        <x:f>IF($I24="","",INDEX(AR!$R$2:$R$201,MATCH($I24,AR!$U$2:$U$201,0)))</x:f>
      </x:c>
      <x:c r="H24" s="17">
        <x:f>IF($I24="","",INDEX(AR!$O$2:$O$201,MATCH($I24,AR!$U$2:$U$201,0)))</x:f>
      </x:c>
      <x:c r="I24" s="17">
        <x:f>IFERROR(LARGE(AR!$U$2:$U$201,ROWS($A$2:A24)),"")</x:f>
      </x:c>
    </x:row>
    <x:row r="25">
      <x:c r="A25" s="17">
        <x:f>IF($I25="","",ROWS($A$2:A25))</x:f>
      </x:c>
      <x:c r="B25" s="17">
        <x:f>IF($I25="","",INDEX(AR!$C$2:$C$201,MATCH($I25,AR!$U$2:$U$201,0)))</x:f>
      </x:c>
      <x:c r="C25" s="17">
        <x:f>IF($I25="","",INDEX(AR!$D$2:$D$201,MATCH($I25,AR!$U$2:$U$201,0)))</x:f>
      </x:c>
      <x:c r="D25" s="15">
        <x:f>IF($I25="","",INDEX(AR!$H$2:$H$201,MATCH($I25,AR!$U$2:$U$201,0)))</x:f>
      </x:c>
      <x:c r="E25" s="17">
        <x:f>IF($I25="","",INDEX(AR!$J$2:$J$201,MATCH($I25,AR!$U$2:$U$201,0)))</x:f>
      </x:c>
      <x:c r="F25" s="17">
        <x:f>IF($I25="","",INDEX(AR!$Q$2:$Q$201,MATCH($I25,AR!$U$2:$U$201,0)))</x:f>
      </x:c>
      <x:c r="G25" s="17">
        <x:f>IF($I25="","",INDEX(AR!$R$2:$R$201,MATCH($I25,AR!$U$2:$U$201,0)))</x:f>
      </x:c>
      <x:c r="H25" s="17">
        <x:f>IF($I25="","",INDEX(AR!$O$2:$O$201,MATCH($I25,AR!$U$2:$U$201,0)))</x:f>
      </x:c>
      <x:c r="I25" s="17">
        <x:f>IFERROR(LARGE(AR!$U$2:$U$201,ROWS($A$2:A25)),"")</x:f>
      </x:c>
    </x:row>
    <x:row r="26">
      <x:c r="A26" s="17">
        <x:f>IF($I26="","",ROWS($A$2:A26))</x:f>
      </x:c>
      <x:c r="B26" s="17">
        <x:f>IF($I26="","",INDEX(AR!$C$2:$C$201,MATCH($I26,AR!$U$2:$U$201,0)))</x:f>
      </x:c>
      <x:c r="C26" s="17">
        <x:f>IF($I26="","",INDEX(AR!$D$2:$D$201,MATCH($I26,AR!$U$2:$U$201,0)))</x:f>
      </x:c>
      <x:c r="D26" s="15">
        <x:f>IF($I26="","",INDEX(AR!$H$2:$H$201,MATCH($I26,AR!$U$2:$U$201,0)))</x:f>
      </x:c>
      <x:c r="E26" s="17">
        <x:f>IF($I26="","",INDEX(AR!$J$2:$J$201,MATCH($I26,AR!$U$2:$U$201,0)))</x:f>
      </x:c>
      <x:c r="F26" s="17">
        <x:f>IF($I26="","",INDEX(AR!$Q$2:$Q$201,MATCH($I26,AR!$U$2:$U$201,0)))</x:f>
      </x:c>
      <x:c r="G26" s="17">
        <x:f>IF($I26="","",INDEX(AR!$R$2:$R$201,MATCH($I26,AR!$U$2:$U$201,0)))</x:f>
      </x:c>
      <x:c r="H26" s="17">
        <x:f>IF($I26="","",INDEX(AR!$O$2:$O$201,MATCH($I26,AR!$U$2:$U$201,0)))</x:f>
      </x:c>
      <x:c r="I26" s="17">
        <x:f>IFERROR(LARGE(AR!$U$2:$U$201,ROWS($A$2:A26)),"")</x:f>
      </x:c>
    </x:row>
    <x:row r="27">
      <x:c r="A27" s="17">
        <x:f>IF($I27="","",ROWS($A$2:A27))</x:f>
      </x:c>
      <x:c r="B27" s="17">
        <x:f>IF($I27="","",INDEX(AR!$C$2:$C$201,MATCH($I27,AR!$U$2:$U$201,0)))</x:f>
      </x:c>
      <x:c r="C27" s="17">
        <x:f>IF($I27="","",INDEX(AR!$D$2:$D$201,MATCH($I27,AR!$U$2:$U$201,0)))</x:f>
      </x:c>
      <x:c r="D27" s="15">
        <x:f>IF($I27="","",INDEX(AR!$H$2:$H$201,MATCH($I27,AR!$U$2:$U$201,0)))</x:f>
      </x:c>
      <x:c r="E27" s="17">
        <x:f>IF($I27="","",INDEX(AR!$J$2:$J$201,MATCH($I27,AR!$U$2:$U$201,0)))</x:f>
      </x:c>
      <x:c r="F27" s="17">
        <x:f>IF($I27="","",INDEX(AR!$Q$2:$Q$201,MATCH($I27,AR!$U$2:$U$201,0)))</x:f>
      </x:c>
      <x:c r="G27" s="17">
        <x:f>IF($I27="","",INDEX(AR!$R$2:$R$201,MATCH($I27,AR!$U$2:$U$201,0)))</x:f>
      </x:c>
      <x:c r="H27" s="17">
        <x:f>IF($I27="","",INDEX(AR!$O$2:$O$201,MATCH($I27,AR!$U$2:$U$201,0)))</x:f>
      </x:c>
      <x:c r="I27" s="17">
        <x:f>IFERROR(LARGE(AR!$U$2:$U$201,ROWS($A$2:A27)),"")</x:f>
      </x:c>
    </x:row>
    <x:row r="28">
      <x:c r="A28" s="17">
        <x:f>IF($I28="","",ROWS($A$2:A28))</x:f>
      </x:c>
      <x:c r="B28" s="17">
        <x:f>IF($I28="","",INDEX(AR!$C$2:$C$201,MATCH($I28,AR!$U$2:$U$201,0)))</x:f>
      </x:c>
      <x:c r="C28" s="17">
        <x:f>IF($I28="","",INDEX(AR!$D$2:$D$201,MATCH($I28,AR!$U$2:$U$201,0)))</x:f>
      </x:c>
      <x:c r="D28" s="15">
        <x:f>IF($I28="","",INDEX(AR!$H$2:$H$201,MATCH($I28,AR!$U$2:$U$201,0)))</x:f>
      </x:c>
      <x:c r="E28" s="17">
        <x:f>IF($I28="","",INDEX(AR!$J$2:$J$201,MATCH($I28,AR!$U$2:$U$201,0)))</x:f>
      </x:c>
      <x:c r="F28" s="17">
        <x:f>IF($I28="","",INDEX(AR!$Q$2:$Q$201,MATCH($I28,AR!$U$2:$U$201,0)))</x:f>
      </x:c>
      <x:c r="G28" s="17">
        <x:f>IF($I28="","",INDEX(AR!$R$2:$R$201,MATCH($I28,AR!$U$2:$U$201,0)))</x:f>
      </x:c>
      <x:c r="H28" s="17">
        <x:f>IF($I28="","",INDEX(AR!$O$2:$O$201,MATCH($I28,AR!$U$2:$U$201,0)))</x:f>
      </x:c>
      <x:c r="I28" s="17">
        <x:f>IFERROR(LARGE(AR!$U$2:$U$201,ROWS($A$2:A28)),"")</x:f>
      </x:c>
    </x:row>
    <x:row r="29">
      <x:c r="A29" s="17">
        <x:f>IF($I29="","",ROWS($A$2:A29))</x:f>
      </x:c>
      <x:c r="B29" s="17">
        <x:f>IF($I29="","",INDEX(AR!$C$2:$C$201,MATCH($I29,AR!$U$2:$U$201,0)))</x:f>
      </x:c>
      <x:c r="C29" s="17">
        <x:f>IF($I29="","",INDEX(AR!$D$2:$D$201,MATCH($I29,AR!$U$2:$U$201,0)))</x:f>
      </x:c>
      <x:c r="D29" s="15">
        <x:f>IF($I29="","",INDEX(AR!$H$2:$H$201,MATCH($I29,AR!$U$2:$U$201,0)))</x:f>
      </x:c>
      <x:c r="E29" s="17">
        <x:f>IF($I29="","",INDEX(AR!$J$2:$J$201,MATCH($I29,AR!$U$2:$U$201,0)))</x:f>
      </x:c>
      <x:c r="F29" s="17">
        <x:f>IF($I29="","",INDEX(AR!$Q$2:$Q$201,MATCH($I29,AR!$U$2:$U$201,0)))</x:f>
      </x:c>
      <x:c r="G29" s="17">
        <x:f>IF($I29="","",INDEX(AR!$R$2:$R$201,MATCH($I29,AR!$U$2:$U$201,0)))</x:f>
      </x:c>
      <x:c r="H29" s="17">
        <x:f>IF($I29="","",INDEX(AR!$O$2:$O$201,MATCH($I29,AR!$U$2:$U$201,0)))</x:f>
      </x:c>
      <x:c r="I29" s="17">
        <x:f>IFERROR(LARGE(AR!$U$2:$U$201,ROWS($A$2:A29)),"")</x:f>
      </x:c>
    </x:row>
    <x:row r="30">
      <x:c r="A30" s="17">
        <x:f>IF($I30="","",ROWS($A$2:A30))</x:f>
      </x:c>
      <x:c r="B30" s="17">
        <x:f>IF($I30="","",INDEX(AR!$C$2:$C$201,MATCH($I30,AR!$U$2:$U$201,0)))</x:f>
      </x:c>
      <x:c r="C30" s="17">
        <x:f>IF($I30="","",INDEX(AR!$D$2:$D$201,MATCH($I30,AR!$U$2:$U$201,0)))</x:f>
      </x:c>
      <x:c r="D30" s="15">
        <x:f>IF($I30="","",INDEX(AR!$H$2:$H$201,MATCH($I30,AR!$U$2:$U$201,0)))</x:f>
      </x:c>
      <x:c r="E30" s="17">
        <x:f>IF($I30="","",INDEX(AR!$J$2:$J$201,MATCH($I30,AR!$U$2:$U$201,0)))</x:f>
      </x:c>
      <x:c r="F30" s="17">
        <x:f>IF($I30="","",INDEX(AR!$Q$2:$Q$201,MATCH($I30,AR!$U$2:$U$201,0)))</x:f>
      </x:c>
      <x:c r="G30" s="17">
        <x:f>IF($I30="","",INDEX(AR!$R$2:$R$201,MATCH($I30,AR!$U$2:$U$201,0)))</x:f>
      </x:c>
      <x:c r="H30" s="17">
        <x:f>IF($I30="","",INDEX(AR!$O$2:$O$201,MATCH($I30,AR!$U$2:$U$201,0)))</x:f>
      </x:c>
      <x:c r="I30" s="17">
        <x:f>IFERROR(LARGE(AR!$U$2:$U$201,ROWS($A$2:A30)),"")</x:f>
      </x:c>
    </x:row>
    <x:row r="31">
      <x:c r="A31" s="17" t="n"/>
      <x:c r="B31" s="17" t="n"/>
      <x:c r="C31" s="17" t="n"/>
      <x:c r="D31" s="17" t="n"/>
      <x:c r="E31" s="17" t="n"/>
      <x:c r="F31" s="17" t="n"/>
      <x:c r="G31" s="17" t="n"/>
      <x:c r="H31" s="17" t="n"/>
      <x:c r="I31" s="17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0" customWidth="1"/>
    <x:col min="5" max="5" width="10" customWidth="1"/>
    <x:col min="6" max="6" width="5" customWidth="1"/>
    <x:col min="7" max="7" width="8" customWidth="1"/>
    <x:col min="8" max="8" width="20" customWidth="1"/>
    <x:col min="9" max="9" width="14" customWidth="1"/>
    <x:col min="10" max="10" width="10" customWidth="1"/>
  </x:cols>
  <x:sheetData>
    <x:row r="1">
      <x:c r="A1" s="1" t="inlineStr">
        <x:is>
          <x:t xml:space="preserve">众程建材客户风险管理看板</x:t>
        </x:is>
      </x:c>
    </x:row>
    <x:row r="3">
      <x:c r="A3" s="19" t="inlineStr">
        <x:is>
          <x:t xml:space="preserve">总客户数</x:t>
        </x:is>
      </x:c>
      <x:c r="B3" s="20">
        <x:f>COUNTA(Customers!$A$2:$A$201)</x:f>
        <x:v>0</x:v>
      </x:c>
      <x:c r="C3" s="19" t="inlineStr">
        <x:is>
          <x:t xml:space="preserve">总应收金额</x:t>
        </x:is>
      </x:c>
      <x:c r="D3" s="21">
        <x:f>SUM(AR!$F$2:$F$201)</x:f>
        <x:v>0</x:v>
      </x:c>
      <x:c r="E3" s="19" t="inlineStr">
        <x:is>
          <x:t xml:space="preserve">总已收金额</x:t>
        </x:is>
      </x:c>
      <x:c r="F3" s="21">
        <x:f>SUM(AR!$G$2:$G$201)</x:f>
        <x:v>0</x:v>
      </x:c>
      <x:c r="G3" s="19" t="inlineStr">
        <x:is>
          <x:t xml:space="preserve">总未收金额</x:t>
        </x:is>
      </x:c>
      <x:c r="H3" s="21">
        <x:f>SUM(AR!$H$2:$H$201)</x:f>
        <x:v>0</x:v>
      </x:c>
    </x:row>
    <x:row r="6">
      <x:c r="A6" s="22" t="inlineStr">
        <x:is>
          <x:t xml:space="preserve">逾期金额</x:t>
        </x:is>
      </x:c>
      <x:c r="B6" s="21">
        <x:f>SUMIFS(AR!$H$2:$H$201,AR!$J$2:$J$201,"&gt;0")</x:f>
        <x:v>0</x:v>
      </x:c>
      <x:c r="C6" s="22" t="inlineStr">
        <x:is>
          <x:t xml:space="preserve">90天以上金额</x:t>
        </x:is>
      </x:c>
      <x:c r="D6" s="21">
        <x:f>SUMIFS(AR!$H$2:$H$201,AR!$J$2:$J$201,"&gt;90")</x:f>
        <x:v>0</x:v>
      </x:c>
      <x:c r="E6" s="22" t="inlineStr">
        <x:is>
          <x:t xml:space="preserve">诉讼客户数</x:t>
        </x:is>
      </x:c>
      <x:c r="F6" s="20">
        <x:f>COUNTIF(Risks!$D$2:$D$201,"诉讼")</x:f>
        <x:v>0</x:v>
      </x:c>
      <x:c r="G6" s="22" t="inlineStr">
        <x:is>
          <x:t xml:space="preserve">C/D级客户数</x:t>
        </x:is>
      </x:c>
      <x:c r="H6" s="20">
        <x:f>COUNTIF(Scores!$T$2:$T$201,"C")+COUNTIF(Scores!$T$2:$T$201,"D")</x:f>
        <x:v>0</x:v>
      </x:c>
    </x:row>
    <x:row r="10">
      <x:c r="A10" s="3" t="inlineStr">
        <x:is>
          <x:t xml:space="preserve">账龄分布</x:t>
        </x:is>
      </x:c>
      <x:c r="D10" s="3" t="inlineStr">
        <x:is>
          <x:t xml:space="preserve">信用等级分布</x:t>
        </x:is>
      </x:c>
      <x:c r="G10" s="3" t="inlineStr">
        <x:is>
          <x:t xml:space="preserve">催收优先级 TOP 5</x:t>
        </x:is>
      </x:c>
    </x:row>
    <x:row r="11" ht="24" customHeight="1">
      <x:c r="A11" s="8" t="inlineStr">
        <x:is>
          <x:t xml:space="preserve">账龄阶段</x:t>
        </x:is>
      </x:c>
      <x:c r="B11" s="8" t="inlineStr">
        <x:is>
          <x:t xml:space="preserve">金额(元)</x:t>
        </x:is>
      </x:c>
      <x:c r="C11" s="8" t="n"/>
      <x:c r="D11" s="8" t="inlineStr">
        <x:is>
          <x:t xml:space="preserve">等级</x:t>
        </x:is>
      </x:c>
      <x:c r="E11" s="8" t="inlineStr">
        <x:is>
          <x:t xml:space="preserve">客户数</x:t>
        </x:is>
      </x:c>
      <x:c r="F11" s="8" t="n"/>
      <x:c r="G11" s="8" t="inlineStr">
        <x:is>
          <x:t xml:space="preserve">排名</x:t>
        </x:is>
      </x:c>
      <x:c r="H11" s="8" t="inlineStr">
        <x:is>
          <x:t xml:space="preserve">客户名称</x:t>
        </x:is>
      </x:c>
      <x:c r="I11" s="8" t="inlineStr">
        <x:is>
          <x:t xml:space="preserve">未收金额(元)</x:t>
        </x:is>
      </x:c>
      <x:c r="J11" s="8" t="inlineStr">
        <x:is>
          <x:t xml:space="preserve">逾期天数</x:t>
        </x:is>
      </x:c>
    </x:row>
    <x:row r="12">
      <x:c r="A12" s="9" t="inlineStr">
        <x:is>
          <x:t xml:space="preserve">未到期</x:t>
        </x:is>
      </x:c>
      <x:c r="B12" s="15">
        <x:f>SUMIFS(AR!$H$2:$H$201,AR!$K$2:$K$201,"未到期")</x:f>
        <x:v>0</x:v>
      </x:c>
      <x:c r="C12" s="9" t="n"/>
      <x:c r="D12" s="9" t="inlineStr">
        <x:is>
          <x:t xml:space="preserve">A+</x:t>
        </x:is>
      </x:c>
      <x:c r="E12" s="17">
        <x:f>COUNTIF(Scores!$T$2:$T$201,"A+")</x:f>
        <x:v>0</x:v>
      </x:c>
      <x:c r="F12" s="9" t="n"/>
      <x:c r="G12" s="17">
        <x:f>Collection!A2</x:f>
      </x:c>
      <x:c r="H12" s="17">
        <x:f>Collection!B2</x:f>
      </x:c>
      <x:c r="I12" s="15">
        <x:f>Collection!D2</x:f>
      </x:c>
      <x:c r="J12" s="17">
        <x:f>Collection!E2</x:f>
      </x:c>
    </x:row>
    <x:row r="13">
      <x:c r="A13" s="9" t="inlineStr">
        <x:is>
          <x:t xml:space="preserve">1-30天</x:t>
        </x:is>
      </x:c>
      <x:c r="B13" s="15">
        <x:f>SUMIFS(AR!$H$2:$H$201,AR!$K$2:$K$201,"1-30天")</x:f>
        <x:v>0</x:v>
      </x:c>
      <x:c r="C13" s="9" t="n"/>
      <x:c r="D13" s="9" t="inlineStr">
        <x:is>
          <x:t xml:space="preserve">A</x:t>
        </x:is>
      </x:c>
      <x:c r="E13" s="17">
        <x:f>COUNTIF(Scores!$T$2:$T$201,"A")</x:f>
        <x:v>0</x:v>
      </x:c>
      <x:c r="F13" s="9" t="n"/>
      <x:c r="G13" s="17">
        <x:f>Collection!A3</x:f>
      </x:c>
      <x:c r="H13" s="17">
        <x:f>Collection!B3</x:f>
      </x:c>
      <x:c r="I13" s="15">
        <x:f>Collection!D3</x:f>
      </x:c>
      <x:c r="J13" s="17">
        <x:f>Collection!E3</x:f>
      </x:c>
    </x:row>
    <x:row r="14">
      <x:c r="A14" s="9" t="inlineStr">
        <x:is>
          <x:t xml:space="preserve">31-60天</x:t>
        </x:is>
      </x:c>
      <x:c r="B14" s="15">
        <x:f>SUMIFS(AR!$H$2:$H$201,AR!$K$2:$K$201,"31-60天")</x:f>
        <x:v>0</x:v>
      </x:c>
      <x:c r="C14" s="9" t="n"/>
      <x:c r="D14" s="9" t="inlineStr">
        <x:is>
          <x:t xml:space="preserve">B</x:t>
        </x:is>
      </x:c>
      <x:c r="E14" s="17">
        <x:f>COUNTIF(Scores!$T$2:$T$201,"B")</x:f>
        <x:v>0</x:v>
      </x:c>
      <x:c r="F14" s="9" t="n"/>
      <x:c r="G14" s="17">
        <x:f>Collection!A4</x:f>
      </x:c>
      <x:c r="H14" s="17">
        <x:f>Collection!B4</x:f>
      </x:c>
      <x:c r="I14" s="15">
        <x:f>Collection!D4</x:f>
      </x:c>
      <x:c r="J14" s="17">
        <x:f>Collection!E4</x:f>
      </x:c>
    </x:row>
    <x:row r="15">
      <x:c r="A15" s="9" t="inlineStr">
        <x:is>
          <x:t xml:space="preserve">61-90天</x:t>
        </x:is>
      </x:c>
      <x:c r="B15" s="15">
        <x:f>SUMIFS(AR!$H$2:$H$201,AR!$K$2:$K$201,"61-90天")</x:f>
        <x:v>0</x:v>
      </x:c>
      <x:c r="C15" s="9" t="n"/>
      <x:c r="D15" s="9" t="inlineStr">
        <x:is>
          <x:t xml:space="preserve">C</x:t>
        </x:is>
      </x:c>
      <x:c r="E15" s="17">
        <x:f>COUNTIF(Scores!$T$2:$T$201,"C")</x:f>
        <x:v>0</x:v>
      </x:c>
      <x:c r="F15" s="9" t="n"/>
      <x:c r="G15" s="17">
        <x:f>Collection!A5</x:f>
      </x:c>
      <x:c r="H15" s="17">
        <x:f>Collection!B5</x:f>
      </x:c>
      <x:c r="I15" s="15">
        <x:f>Collection!D5</x:f>
      </x:c>
      <x:c r="J15" s="17">
        <x:f>Collection!E5</x:f>
      </x:c>
    </x:row>
    <x:row r="16">
      <x:c r="A16" s="9" t="inlineStr">
        <x:is>
          <x:t xml:space="preserve">90天以上</x:t>
        </x:is>
      </x:c>
      <x:c r="B16" s="15">
        <x:f>SUMIFS(AR!$H$2:$H$201,AR!$K$2:$K$201,"90天以上")</x:f>
        <x:v>0</x:v>
      </x:c>
      <x:c r="C16" s="9" t="n"/>
      <x:c r="D16" s="9" t="inlineStr">
        <x:is>
          <x:t xml:space="preserve">D</x:t>
        </x:is>
      </x:c>
      <x:c r="E16" s="17">
        <x:f>COUNTIF(Scores!$T$2:$T$201,"D")</x:f>
        <x:v>0</x:v>
      </x:c>
      <x:c r="F16" s="9" t="n"/>
      <x:c r="G16" s="17">
        <x:f>Collection!A6</x:f>
      </x:c>
      <x:c r="H16" s="17">
        <x:f>Collection!B6</x:f>
      </x:c>
      <x:c r="I16" s="15">
        <x:f>Collection!D6</x:f>
      </x:c>
      <x:c r="J16" s="17">
        <x:f>Collection!E6</x:f>
      </x:c>
    </x:row>
  </x:sheetData>
  <x:pageMargins left="0.7" right="0.7" top="0.75" bottom="0.75" header="0.3" footer="0.3"/>
</x:worksheet>
</file>